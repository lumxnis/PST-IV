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5315" windowHeight="6210" firstSheet="2" activeTab="10"/>
  </bookViews>
  <sheets>
    <sheet name="HEMATOLOGIA" sheetId="1" r:id="rId1"/>
    <sheet name="QUIMICA SANGUINEA" sheetId="2" r:id="rId2"/>
    <sheet name="COAGULACION" sheetId="3" r:id="rId3"/>
    <sheet name="ORINA" sheetId="4" r:id="rId4"/>
    <sheet name="HECES" sheetId="5" r:id="rId5"/>
    <sheet name="HIV" sheetId="6" r:id="rId6"/>
    <sheet name="P.EMB" sheetId="7" r:id="rId7"/>
    <sheet name="TIPIAJE" sheetId="8" r:id="rId8"/>
    <sheet name="DENGUE" sheetId="9" r:id="rId9"/>
    <sheet name="PERF. LIP" sheetId="10" r:id="rId10"/>
    <sheet name="PERF. HEP" sheetId="11" r:id="rId11"/>
    <sheet name="QUIMICA" sheetId="12" r:id="rId12"/>
    <sheet name="VSG Y PCR" sheetId="13" r:id="rId13"/>
    <sheet name="ELECTROLITOS" sheetId="14" r:id="rId14"/>
    <sheet name="DIMERO D" sheetId="15" r:id="rId15"/>
    <sheet name="AC COVID" sheetId="16" r:id="rId16"/>
    <sheet name="MARCADORES TUMORALES" sheetId="17" r:id="rId17"/>
    <sheet name="FIBRINOGENO" sheetId="18" r:id="rId18"/>
    <sheet name="INSULINA" sheetId="19" r:id="rId19"/>
    <sheet name="FSP" sheetId="20" r:id="rId20"/>
    <sheet name="HBA1C" sheetId="21" r:id="rId21"/>
    <sheet name="TOXO IgM" sheetId="22" r:id="rId22"/>
    <sheet name="PSAT Y L" sheetId="23" r:id="rId23"/>
    <sheet name="ANTIGENOS FEBRILES" sheetId="24" r:id="rId24"/>
    <sheet name="TEST L Y T" sheetId="25" r:id="rId25"/>
    <sheet name="PROLACTINA" sheetId="26" r:id="rId26"/>
    <sheet name="ESTRADIOL" sheetId="27" r:id="rId27"/>
    <sheet name="ORINA DE 24H" sheetId="28" r:id="rId28"/>
    <sheet name="INDICES RENALES" sheetId="29" r:id="rId29"/>
    <sheet name="FSH Y LH" sheetId="30" r:id="rId30"/>
    <sheet name="DHEA SO4" sheetId="31" r:id="rId31"/>
    <sheet name="DEP. CREATININA" sheetId="32" r:id="rId32"/>
    <sheet name="BETA HCG" sheetId="33" r:id="rId33"/>
  </sheets>
  <calcPr calcId="125725"/>
</workbook>
</file>

<file path=xl/calcChain.xml><?xml version="1.0" encoding="utf-8"?>
<calcChain xmlns="http://schemas.openxmlformats.org/spreadsheetml/2006/main">
  <c r="C22" i="3"/>
  <c r="C15"/>
  <c r="C12" i="1" l="1"/>
  <c r="C14"/>
  <c r="D17" i="10"/>
  <c r="D16"/>
  <c r="D15" s="1"/>
  <c r="D18" s="1"/>
</calcChain>
</file>

<file path=xl/sharedStrings.xml><?xml version="1.0" encoding="utf-8"?>
<sst xmlns="http://schemas.openxmlformats.org/spreadsheetml/2006/main" count="1080" uniqueCount="475">
  <si>
    <t>RESULTADO DE EXAMENES</t>
  </si>
  <si>
    <r>
      <rPr>
        <sz val="10"/>
        <color theme="1"/>
        <rFont val="Arial Rounded MT Bold"/>
        <family val="2"/>
      </rPr>
      <t>N</t>
    </r>
    <r>
      <rPr>
        <sz val="10"/>
        <color theme="1"/>
        <rFont val="Calibri"/>
        <family val="2"/>
      </rPr>
      <t>º</t>
    </r>
    <r>
      <rPr>
        <sz val="10"/>
        <color theme="1"/>
        <rFont val="Arial Rounded MT Bold"/>
        <family val="2"/>
      </rPr>
      <t xml:space="preserve"> EXAMEN</t>
    </r>
  </si>
  <si>
    <t>DATOS DEL PACIENTE</t>
  </si>
  <si>
    <t>Cédula:</t>
  </si>
  <si>
    <t>Sexo:</t>
  </si>
  <si>
    <t>Fecha:</t>
  </si>
  <si>
    <t>Edad:</t>
  </si>
  <si>
    <t>Nombre:</t>
  </si>
  <si>
    <t>RESULTADO</t>
  </si>
  <si>
    <t>VALOR DE REFERENCIA</t>
  </si>
  <si>
    <t>ERITROCITOS</t>
  </si>
  <si>
    <t>4.0 - 5.0</t>
  </si>
  <si>
    <t>HEMATOCRITO</t>
  </si>
  <si>
    <t>36 - 50</t>
  </si>
  <si>
    <t>%</t>
  </si>
  <si>
    <t>HEMOGLOBINA</t>
  </si>
  <si>
    <t>12 - 15.5</t>
  </si>
  <si>
    <t>g/dl</t>
  </si>
  <si>
    <t>LEUCOCITOS</t>
  </si>
  <si>
    <t>PLAQUETAS</t>
  </si>
  <si>
    <t>FORMULA LEUCOCITARIA</t>
  </si>
  <si>
    <t>NEUTROFILOS</t>
  </si>
  <si>
    <t>LINFOCITOS</t>
  </si>
  <si>
    <t>EOSINOFILOS</t>
  </si>
  <si>
    <t>4000 - 10500</t>
  </si>
  <si>
    <t>150.000 - 400.000</t>
  </si>
  <si>
    <t>xmm³</t>
  </si>
  <si>
    <t>50 - 70</t>
  </si>
  <si>
    <t xml:space="preserve">18 - 42 </t>
  </si>
  <si>
    <t xml:space="preserve">0 - 5 </t>
  </si>
  <si>
    <t>QUIMICA SANGUINEA</t>
  </si>
  <si>
    <t>PRUEBA</t>
  </si>
  <si>
    <t>GLICEMIA</t>
  </si>
  <si>
    <t>UREA</t>
  </si>
  <si>
    <t>CREATININA</t>
  </si>
  <si>
    <t>TRIGLICERIDOS</t>
  </si>
  <si>
    <t>70 - 105</t>
  </si>
  <si>
    <t>mg/dl</t>
  </si>
  <si>
    <t>17 -49</t>
  </si>
  <si>
    <t>0.5 - 1.5</t>
  </si>
  <si>
    <t>0 - 200</t>
  </si>
  <si>
    <t>30 - 150</t>
  </si>
  <si>
    <t>COAGULACIÓN</t>
  </si>
  <si>
    <t>PT</t>
  </si>
  <si>
    <t>PACIENTE</t>
  </si>
  <si>
    <t>CONTROL</t>
  </si>
  <si>
    <t>RAZON</t>
  </si>
  <si>
    <t>INR</t>
  </si>
  <si>
    <t>seg</t>
  </si>
  <si>
    <t>0.8 - 1.2</t>
  </si>
  <si>
    <t>P.T.T</t>
  </si>
  <si>
    <t>DIFERENCIA</t>
  </si>
  <si>
    <t>± 6</t>
  </si>
  <si>
    <t>UROANÁLISIS</t>
  </si>
  <si>
    <t>EXAMEN MACROSCOPICO</t>
  </si>
  <si>
    <t>ASPECTO</t>
  </si>
  <si>
    <t>COLOR</t>
  </si>
  <si>
    <t>DENSIDAD</t>
  </si>
  <si>
    <t>PH</t>
  </si>
  <si>
    <t>REACCIÓN</t>
  </si>
  <si>
    <t>EXAMEN QUIMICO</t>
  </si>
  <si>
    <t>PROTEÍNAS</t>
  </si>
  <si>
    <t>GLUCOSA</t>
  </si>
  <si>
    <t>CETONAS</t>
  </si>
  <si>
    <t>BILIRRUBINA</t>
  </si>
  <si>
    <t>UROBILINOGENO</t>
  </si>
  <si>
    <t>NITRITOS</t>
  </si>
  <si>
    <t>EXAMEN MICROSCOPICO</t>
  </si>
  <si>
    <t>BACTERIAS</t>
  </si>
  <si>
    <t>MUCINA</t>
  </si>
  <si>
    <t>CELULAS EPITELIALES</t>
  </si>
  <si>
    <t>OTROS</t>
  </si>
  <si>
    <t>HEMATIES</t>
  </si>
  <si>
    <t>COPROANÁLISIS</t>
  </si>
  <si>
    <t>CONSISTENCIA</t>
  </si>
  <si>
    <t>RESTOS ALIMENTICIOS</t>
  </si>
  <si>
    <t>MOCO</t>
  </si>
  <si>
    <t>SANGRE</t>
  </si>
  <si>
    <t>PROTOZOARIOS:</t>
  </si>
  <si>
    <t>HELMINTOS:</t>
  </si>
  <si>
    <t>FLORA BACTERIANA:</t>
  </si>
  <si>
    <t>GOTAS DE GRASAS:</t>
  </si>
  <si>
    <t>OTROS:</t>
  </si>
  <si>
    <t>MISCELANEOS</t>
  </si>
  <si>
    <t>RESULTADOS</t>
  </si>
  <si>
    <t>H.I.V</t>
  </si>
  <si>
    <t>V.D.R.L</t>
  </si>
  <si>
    <t>HEPATITIS A</t>
  </si>
  <si>
    <t>HEPATITIS B</t>
  </si>
  <si>
    <t>CORE</t>
  </si>
  <si>
    <t>SUPERFICIE</t>
  </si>
  <si>
    <t>HEPATITIS C</t>
  </si>
  <si>
    <t>PRUEBA DE EMBARAZO</t>
  </si>
  <si>
    <t>GRUPO SANGUÍNEO</t>
  </si>
  <si>
    <t>FACTOR RH</t>
  </si>
  <si>
    <t>SEROLOGIA</t>
  </si>
  <si>
    <t>DENGUE</t>
  </si>
  <si>
    <t>IgG</t>
  </si>
  <si>
    <t>IgM</t>
  </si>
  <si>
    <t xml:space="preserve">31 - 80 </t>
  </si>
  <si>
    <t>0 - 130</t>
  </si>
  <si>
    <t>REL 1 (CT/HDL COL)</t>
  </si>
  <si>
    <t>REL 2 (LDL COL/HDL COL)</t>
  </si>
  <si>
    <t>PERFIL HEPATICO</t>
  </si>
  <si>
    <t>BILIRRUBINA TOTAL</t>
  </si>
  <si>
    <t>BILIRRUBINA DIRECTA</t>
  </si>
  <si>
    <t>BILURRUBINA INDIRECTA</t>
  </si>
  <si>
    <t>TGO</t>
  </si>
  <si>
    <t>TGP</t>
  </si>
  <si>
    <t>LDH</t>
  </si>
  <si>
    <t>AMILASA</t>
  </si>
  <si>
    <t>FOSFATASA ALCALINA</t>
  </si>
  <si>
    <t>GGT</t>
  </si>
  <si>
    <t>0 - 1.0</t>
  </si>
  <si>
    <t xml:space="preserve">0 - 0.2 </t>
  </si>
  <si>
    <t xml:space="preserve">0 - 0.8 </t>
  </si>
  <si>
    <t>0 - 40</t>
  </si>
  <si>
    <t>U/l</t>
  </si>
  <si>
    <t>50 - 285</t>
  </si>
  <si>
    <t>UI/l</t>
  </si>
  <si>
    <t>HOMBRES:</t>
  </si>
  <si>
    <t>MUJER:</t>
  </si>
  <si>
    <t>0 - 30</t>
  </si>
  <si>
    <t>U/I</t>
  </si>
  <si>
    <t>0 - 50</t>
  </si>
  <si>
    <t>0 - 125</t>
  </si>
  <si>
    <t>VALORES DE REFERENCIA</t>
  </si>
  <si>
    <t>PROTEINAS TOTALES</t>
  </si>
  <si>
    <t>6.2 - 8.5</t>
  </si>
  <si>
    <t>ALBUMINA</t>
  </si>
  <si>
    <t>3.5 - 5.3</t>
  </si>
  <si>
    <t>GLOBULINA</t>
  </si>
  <si>
    <t>REL ALB/GLOB</t>
  </si>
  <si>
    <t>1.2 - 2.2</t>
  </si>
  <si>
    <t>CALCIO</t>
  </si>
  <si>
    <t>8.5 - 10.5</t>
  </si>
  <si>
    <t>FOSFORO</t>
  </si>
  <si>
    <t>2.5 - 4.8</t>
  </si>
  <si>
    <t>V.S.G</t>
  </si>
  <si>
    <t xml:space="preserve">4.0 - 7.0 </t>
  </si>
  <si>
    <t>mm/hora</t>
  </si>
  <si>
    <t>PCR CUANTIFICADO</t>
  </si>
  <si>
    <t>0 - 6.0</t>
  </si>
  <si>
    <t>SODIO (Naᶧ)</t>
  </si>
  <si>
    <t>135 -155</t>
  </si>
  <si>
    <t>meq/l</t>
  </si>
  <si>
    <t>3.5 - 5.4</t>
  </si>
  <si>
    <r>
      <t>mill/</t>
    </r>
    <r>
      <rPr>
        <sz val="9"/>
        <color theme="1"/>
        <rFont val="Calibri"/>
        <family val="2"/>
      </rPr>
      <t>µl</t>
    </r>
  </si>
  <si>
    <r>
      <t>xmm</t>
    </r>
    <r>
      <rPr>
        <sz val="9"/>
        <color theme="1"/>
        <rFont val="Calibri"/>
        <family val="2"/>
      </rPr>
      <t>³</t>
    </r>
  </si>
  <si>
    <t>NEGATIVO</t>
  </si>
  <si>
    <t>NO SE OBSERVARON EN LA MUESTRA EXAMINADA</t>
  </si>
  <si>
    <t>NO REACTIVO</t>
  </si>
  <si>
    <r>
      <t>POTASIO (K</t>
    </r>
    <r>
      <rPr>
        <sz val="9"/>
        <color theme="1"/>
        <rFont val="Calibri"/>
        <family val="2"/>
      </rPr>
      <t>ᶧ)</t>
    </r>
  </si>
  <si>
    <r>
      <t>CLORO (CL</t>
    </r>
    <r>
      <rPr>
        <sz val="9"/>
        <color theme="1"/>
        <rFont val="Calibri"/>
        <family val="2"/>
      </rPr>
      <t>ˉ)</t>
    </r>
  </si>
  <si>
    <t>F</t>
  </si>
  <si>
    <t>M</t>
  </si>
  <si>
    <t>Avenida Principal de la Cruz, Centro Comercia Mini-Mini, Local 2. Telf: 0424-9051134</t>
  </si>
  <si>
    <t>1.0</t>
  </si>
  <si>
    <t>Avenida Principal de la Cruz, Centro Comercial Mini-Mini, Local 2. Telf: 0424-9051134</t>
  </si>
  <si>
    <t>ACIDA</t>
  </si>
  <si>
    <t>MARRON</t>
  </si>
  <si>
    <t>HETEROGENEA</t>
  </si>
  <si>
    <t>AUSENTE</t>
  </si>
  <si>
    <t>YORGELIS CALZADILLA</t>
  </si>
  <si>
    <t>17 AÑOS</t>
  </si>
  <si>
    <t>DIMERO D</t>
  </si>
  <si>
    <t>&lt;0.20</t>
  </si>
  <si>
    <t>mg/l</t>
  </si>
  <si>
    <t>FERRITINA</t>
  </si>
  <si>
    <t>ng/ml</t>
  </si>
  <si>
    <t>TRANSFERRINA</t>
  </si>
  <si>
    <t>250 - 400</t>
  </si>
  <si>
    <t>µg/dl</t>
  </si>
  <si>
    <t>20- 250</t>
  </si>
  <si>
    <t>ELAIDA GONZALEZ</t>
  </si>
  <si>
    <t>63 AÑOS</t>
  </si>
  <si>
    <t>SARS-COV-2</t>
  </si>
  <si>
    <t>QUE MIDE EN SIMULTANEO LA DETECCION Y DIFERENCIACION DE ANTICUERPOS DE IgG E IgM DE SARS-COV2 (COVID-19)</t>
  </si>
  <si>
    <r>
      <rPr>
        <b/>
        <sz val="8"/>
        <color theme="1"/>
        <rFont val="Calibri"/>
        <family val="2"/>
        <scheme val="minor"/>
      </rPr>
      <t>METODO:</t>
    </r>
    <r>
      <rPr>
        <sz val="8"/>
        <color theme="1"/>
        <rFont val="Calibri"/>
        <family val="2"/>
        <scheme val="minor"/>
      </rPr>
      <t xml:space="preserve"> INMUNOENSAYO CROMATOGRAFICO CUALITATIVO CON SENSIBILIDAD DE 97,22% Y ESPECIFICIDAD DE 97,88%</t>
    </r>
  </si>
  <si>
    <t xml:space="preserve"> EN SUERO, PLASMA O SANGRE TOTAL DE HUMANOS.</t>
  </si>
  <si>
    <t>CEA</t>
  </si>
  <si>
    <t>AFP</t>
  </si>
  <si>
    <t>CA 125</t>
  </si>
  <si>
    <t>CA 19-9</t>
  </si>
  <si>
    <t>CA 15-3</t>
  </si>
  <si>
    <t>0 - 8.5</t>
  </si>
  <si>
    <t>0 - 35</t>
  </si>
  <si>
    <t>U/ml</t>
  </si>
  <si>
    <t>UI/ml</t>
  </si>
  <si>
    <t>NO FUMADORES</t>
  </si>
  <si>
    <t>FUMADORES</t>
  </si>
  <si>
    <t xml:space="preserve">0 - 10 </t>
  </si>
  <si>
    <t>METODO:</t>
  </si>
  <si>
    <t>MICROELISA.</t>
  </si>
  <si>
    <t>ACIDO URICO</t>
  </si>
  <si>
    <t>1.5 - 7.0</t>
  </si>
  <si>
    <r>
      <t xml:space="preserve">HEMATOLOGIA COMPLETA </t>
    </r>
    <r>
      <rPr>
        <sz val="11"/>
        <color theme="0"/>
        <rFont val="Arial Rounded MT Bold"/>
        <family val="2"/>
      </rPr>
      <t>Y MISCELANEOS</t>
    </r>
  </si>
  <si>
    <t>SORAIDA VILLAFRANCA</t>
  </si>
  <si>
    <t>61 AÑOS</t>
  </si>
  <si>
    <t>24.0</t>
  </si>
  <si>
    <t>HDL COLESTEROL</t>
  </si>
  <si>
    <t>LDL COLESTEROL</t>
  </si>
  <si>
    <t>VLDL COLESTEROL</t>
  </si>
  <si>
    <t>25 - 45</t>
  </si>
  <si>
    <t>FIBRINOGENO</t>
  </si>
  <si>
    <t>200 - 400</t>
  </si>
  <si>
    <t>mg%</t>
  </si>
  <si>
    <t>INSULINA BASAL</t>
  </si>
  <si>
    <t>3.0 - 25.0</t>
  </si>
  <si>
    <t>µUI/ml</t>
  </si>
  <si>
    <t>T3L</t>
  </si>
  <si>
    <t>2.8 - 7.3</t>
  </si>
  <si>
    <t>pmol/l</t>
  </si>
  <si>
    <t>T4L</t>
  </si>
  <si>
    <t>8.5 - 22.5</t>
  </si>
  <si>
    <t>TSH</t>
  </si>
  <si>
    <t>0.4 - 5.5</t>
  </si>
  <si>
    <t>4.0</t>
  </si>
  <si>
    <t>MICROELISA</t>
  </si>
  <si>
    <t>FROTIS DE SANGRE PERIFERICA</t>
  </si>
  <si>
    <t>GLOBULOS ROJOS:</t>
  </si>
  <si>
    <t>GLOBULOS BLANCOS:</t>
  </si>
  <si>
    <t>PLAQUETAS:</t>
  </si>
  <si>
    <t>26.0</t>
  </si>
  <si>
    <t xml:space="preserve">PRUEBA </t>
  </si>
  <si>
    <t>HB GLICOSILADA</t>
  </si>
  <si>
    <t>5.0 - 8.3</t>
  </si>
  <si>
    <t>0.50</t>
  </si>
  <si>
    <t>0.10</t>
  </si>
  <si>
    <t>0.40</t>
  </si>
  <si>
    <t>41.0</t>
  </si>
  <si>
    <t>32.1</t>
  </si>
  <si>
    <t>NOTA: SUERO MODERADAMENTE LIPEMICO.</t>
  </si>
  <si>
    <t>RA-TEST</t>
  </si>
  <si>
    <t>25 AÑOS</t>
  </si>
  <si>
    <t>ENDRINA CORDOVA</t>
  </si>
  <si>
    <t>O</t>
  </si>
  <si>
    <t>POSITIVO</t>
  </si>
  <si>
    <t>ESCASAS XC</t>
  </si>
  <si>
    <t>CLARA GUERRERO</t>
  </si>
  <si>
    <t>79 AÑOS</t>
  </si>
  <si>
    <t>5.8</t>
  </si>
  <si>
    <t xml:space="preserve">POSITIVO </t>
  </si>
  <si>
    <t>&gt;1.0</t>
  </si>
  <si>
    <t>&lt;0.9</t>
  </si>
  <si>
    <t>ANTONIO PEREZ</t>
  </si>
  <si>
    <t>72 AÑOS</t>
  </si>
  <si>
    <t>COLESTEROL TOTAL</t>
  </si>
  <si>
    <t>PSA TOTAL</t>
  </si>
  <si>
    <t>PSA LIBRE</t>
  </si>
  <si>
    <t>DOUGLAS PEREZ</t>
  </si>
  <si>
    <t>65 AÑOS</t>
  </si>
  <si>
    <t>6.9</t>
  </si>
  <si>
    <t>2.9</t>
  </si>
  <si>
    <t>1.37</t>
  </si>
  <si>
    <t>25.6</t>
  </si>
  <si>
    <t>2.4</t>
  </si>
  <si>
    <t>35 AÑOS</t>
  </si>
  <si>
    <t>NORMALES EN FORMA Y AUMENTADAS EN CANTIDAD</t>
  </si>
  <si>
    <t>0.67</t>
  </si>
  <si>
    <t>ROSELIA GOMEZ</t>
  </si>
  <si>
    <t>34 AÑOS</t>
  </si>
  <si>
    <t>RELACION PSA L/PSA T</t>
  </si>
  <si>
    <t>% PSA L/PSA T</t>
  </si>
  <si>
    <t>1.42</t>
  </si>
  <si>
    <t>0.39</t>
  </si>
  <si>
    <t>0.27</t>
  </si>
  <si>
    <t>27.4</t>
  </si>
  <si>
    <t>SALMONELLA TYPHI H</t>
  </si>
  <si>
    <t>SALMONELLA H PARATYPHI</t>
  </si>
  <si>
    <t>SALMONELLA H PARATYPHI B</t>
  </si>
  <si>
    <t>BRUCELLA ABORTUS</t>
  </si>
  <si>
    <t>SALMONELLA TYPHI O</t>
  </si>
  <si>
    <t>SALMONELLA O PARATYPHI A</t>
  </si>
  <si>
    <t>SALMONELLA O PARATYPHI B</t>
  </si>
  <si>
    <t>PROTEUS OX19</t>
  </si>
  <si>
    <t>&gt;1/40 Dils</t>
  </si>
  <si>
    <t>&gt;1/80 Dils</t>
  </si>
  <si>
    <t>&gt;1/80Dils</t>
  </si>
  <si>
    <t>&gt;1/160 Dils</t>
  </si>
  <si>
    <t>NORMELIS GOLINDANO</t>
  </si>
  <si>
    <t>42 AÑOS</t>
  </si>
  <si>
    <t>REACTIVO 1/40 Dils</t>
  </si>
  <si>
    <t>REACTIVO 1/20 Dils</t>
  </si>
  <si>
    <t>NOTA: MUESTRA RECIBIDA NO FUE TOMADA EN ESTE LABORATORIO</t>
  </si>
  <si>
    <t>HORMONAS</t>
  </si>
  <si>
    <t>VALORES DE REFENCIA</t>
  </si>
  <si>
    <t>TESTOSTERONA LIBRE</t>
  </si>
  <si>
    <t>0.8</t>
  </si>
  <si>
    <t>0.5 -2.4</t>
  </si>
  <si>
    <t>nmol/l</t>
  </si>
  <si>
    <t>MUJERES:</t>
  </si>
  <si>
    <t>10.0 - 35.0</t>
  </si>
  <si>
    <t>TESTOSTERONA TOTAL</t>
  </si>
  <si>
    <t>PRE-PUBERTAD: 0.1 -0.2</t>
  </si>
  <si>
    <t>FASE FOLICULAR: 0.2 - 0.8</t>
  </si>
  <si>
    <t>FASE LUTEAL: 0.2 - 0.8</t>
  </si>
  <si>
    <t>POST MENOPAUSIA: 0.08 - 0.35 ng/ml</t>
  </si>
  <si>
    <t>3.0 - 12.5</t>
  </si>
  <si>
    <t>ANA KARINA ELENO</t>
  </si>
  <si>
    <t>PROLACTINA</t>
  </si>
  <si>
    <t>14.0</t>
  </si>
  <si>
    <t>EMBARAZADAS: 95 -473</t>
  </si>
  <si>
    <t>3.0 - 14.7</t>
  </si>
  <si>
    <t>F.U.R:</t>
  </si>
  <si>
    <t>ESTRADIOL</t>
  </si>
  <si>
    <t>FASE FOLICULAR TARDIA: 100 -400 pg/ml</t>
  </si>
  <si>
    <t>FASE FOLICULAR TEM: 30 - 100 pg/ml</t>
  </si>
  <si>
    <t>OVULACION: 130 - 370 pg/ml</t>
  </si>
  <si>
    <t>FASE LUTEAL: 60 - 150 pg/ml</t>
  </si>
  <si>
    <t>POST MENOPAUSIA: MENOR DE 15 pg/ml</t>
  </si>
  <si>
    <t>HOMBRE: MENOR DE 60 pg/ml</t>
  </si>
  <si>
    <t>EMBARAZO NORMAL: MAYOR DE 35000 pg/ml</t>
  </si>
  <si>
    <t>NIÑOS: MENOR DE 10 pg/ml</t>
  </si>
  <si>
    <t>INSULINA POST-PANDRIAL</t>
  </si>
  <si>
    <t>HASTA 55.0</t>
  </si>
  <si>
    <t xml:space="preserve">VOLUMEN TOTAL </t>
  </si>
  <si>
    <t>ml/24h</t>
  </si>
  <si>
    <t>CALCIO EN ORINA/24 h</t>
  </si>
  <si>
    <t>60 - 200</t>
  </si>
  <si>
    <t>mg/24 h</t>
  </si>
  <si>
    <t>FOSFORO EN ORINA /24h</t>
  </si>
  <si>
    <t>250 - 750</t>
  </si>
  <si>
    <t>mg/24h</t>
  </si>
  <si>
    <t>AC. URICO EN ORINA/24h</t>
  </si>
  <si>
    <t>29.6</t>
  </si>
  <si>
    <t>398.9</t>
  </si>
  <si>
    <t>252.8</t>
  </si>
  <si>
    <t xml:space="preserve">NOTA: EL FAMILIAR ASEGURA EN HABER RECOLECTADO LA MUESTRA DE </t>
  </si>
  <si>
    <t>ORINA EN CONDICIONES OPTIMAS.</t>
  </si>
  <si>
    <t>10 AÑOS</t>
  </si>
  <si>
    <t>ANTHONY BOLIVAR</t>
  </si>
  <si>
    <t>76.3</t>
  </si>
  <si>
    <t>LEOMARA SOSA</t>
  </si>
  <si>
    <t>45 AÑOS</t>
  </si>
  <si>
    <t>MICROCITICO, HIPOCROMICOS.</t>
  </si>
  <si>
    <t xml:space="preserve">MORFOLOGICAMENTE NORMALES CON PREDOMINIO LIGERO DE </t>
  </si>
  <si>
    <t>LINFOCITOS Y ESOSINOFILOS</t>
  </si>
  <si>
    <t>BLASTOSPORAS:</t>
  </si>
  <si>
    <t>NOTA: SE SUGIERE REALIZAR LA PRUEBA FTA ABSORBIDO PARA CONFIRMAR RESULTADO</t>
  </si>
  <si>
    <t>Y DESCARTAR POSIBLE REACCION CRUZADA.</t>
  </si>
  <si>
    <t>17 - 49</t>
  </si>
  <si>
    <t>ADULTOS:</t>
  </si>
  <si>
    <t>NIÑOS:</t>
  </si>
  <si>
    <t>3.0 - 7.0</t>
  </si>
  <si>
    <t>2 da ORINA</t>
  </si>
  <si>
    <t>RELACION CALCIO/CREATININA</t>
  </si>
  <si>
    <t>RELACION AC. URICO/CREATININA</t>
  </si>
  <si>
    <t>0 - 0.8</t>
  </si>
  <si>
    <t>0.4 - 0.8</t>
  </si>
  <si>
    <t>RELACION FOSFORO/CREATININA</t>
  </si>
  <si>
    <t>6.7 - 21.3</t>
  </si>
  <si>
    <t>40 - 140</t>
  </si>
  <si>
    <t>37 - 92</t>
  </si>
  <si>
    <t>28 - 260</t>
  </si>
  <si>
    <t>ASTO</t>
  </si>
  <si>
    <t>REBECA FIGUEROA</t>
  </si>
  <si>
    <t>32 AÑOS</t>
  </si>
  <si>
    <t>NORMAL</t>
  </si>
  <si>
    <t>190.3</t>
  </si>
  <si>
    <t>128.7</t>
  </si>
  <si>
    <t>12.3</t>
  </si>
  <si>
    <t>0.7</t>
  </si>
  <si>
    <t>0 - 2 XC</t>
  </si>
  <si>
    <t>0 - 8</t>
  </si>
  <si>
    <t>MONOCITOS</t>
  </si>
  <si>
    <t>FSH</t>
  </si>
  <si>
    <t xml:space="preserve">FASE FOLICULAR/LUTEAL: 2 - 10 mUI/ml </t>
  </si>
  <si>
    <t>MITAD DEL CICLO: 2 - 20 mUI/ml</t>
  </si>
  <si>
    <t>POST-MENOPAUSIA: MAYOR DE 15 mUI/ml</t>
  </si>
  <si>
    <t>HOMBRES: 2 - 15 mUI/ml</t>
  </si>
  <si>
    <t>LH</t>
  </si>
  <si>
    <t>FASE FOLICULAR/LUTEAL: 0.5 - 10.5 mUI/ml</t>
  </si>
  <si>
    <t>MITAD DEL CICLO: 18.4 - 61.2 mUI/ml</t>
  </si>
  <si>
    <t>POST-MENOPAUSIA: 8.2 - 40.8 mUI/ml</t>
  </si>
  <si>
    <t>HOMBRES: 0.7 - 7.4 mUI/ml</t>
  </si>
  <si>
    <t>9.13</t>
  </si>
  <si>
    <t>5.1</t>
  </si>
  <si>
    <t>0.41</t>
  </si>
  <si>
    <t>3.48</t>
  </si>
  <si>
    <t>14.6</t>
  </si>
  <si>
    <t>4.1</t>
  </si>
  <si>
    <t>9.90</t>
  </si>
  <si>
    <t>1.15</t>
  </si>
  <si>
    <t>DHEA SO4</t>
  </si>
  <si>
    <t>2.7</t>
  </si>
  <si>
    <r>
      <t xml:space="preserve">RECIEN NACIDOS: 1.7 - 3.6 </t>
    </r>
    <r>
      <rPr>
        <sz val="9"/>
        <color theme="1"/>
        <rFont val="Calibri"/>
        <family val="2"/>
      </rPr>
      <t>µg/ml</t>
    </r>
  </si>
  <si>
    <r>
      <t xml:space="preserve">PRE-MENOPAUSIA: 0.8 - 3.9 </t>
    </r>
    <r>
      <rPr>
        <sz val="9"/>
        <color theme="1"/>
        <rFont val="Calibri"/>
        <family val="2"/>
      </rPr>
      <t>µg/ml</t>
    </r>
  </si>
  <si>
    <r>
      <t xml:space="preserve">EMBARAZO: 0.2 - 1.2 </t>
    </r>
    <r>
      <rPr>
        <sz val="9"/>
        <color theme="1"/>
        <rFont val="Calibri"/>
        <family val="2"/>
      </rPr>
      <t>µg/ml</t>
    </r>
  </si>
  <si>
    <r>
      <t xml:space="preserve">POST-MENOPAUSIA: 0.1 - 0.6 </t>
    </r>
    <r>
      <rPr>
        <sz val="9"/>
        <color theme="1"/>
        <rFont val="Calibri"/>
        <family val="2"/>
      </rPr>
      <t>µg/ml</t>
    </r>
  </si>
  <si>
    <t>DEPURACIÓN DE CREATININA</t>
  </si>
  <si>
    <t>VOLUMEN TOTAL</t>
  </si>
  <si>
    <t>2000 - 2500</t>
  </si>
  <si>
    <t>VOLUMEN MINUTO</t>
  </si>
  <si>
    <t>TALLA</t>
  </si>
  <si>
    <t>ml/min</t>
  </si>
  <si>
    <t>mts</t>
  </si>
  <si>
    <t>Kg</t>
  </si>
  <si>
    <t>PESO</t>
  </si>
  <si>
    <t>SUPERFICIE CORPORAL</t>
  </si>
  <si>
    <t>CREATININA SERICA</t>
  </si>
  <si>
    <t xml:space="preserve">60 - 150 </t>
  </si>
  <si>
    <t>CREATININA EN ORINA</t>
  </si>
  <si>
    <t>DEPURACION SIN CORREGIR</t>
  </si>
  <si>
    <t>DEPURACION CORREGIDA</t>
  </si>
  <si>
    <r>
      <t>m</t>
    </r>
    <r>
      <rPr>
        <sz val="9"/>
        <color theme="1"/>
        <rFont val="Calibri"/>
        <family val="2"/>
      </rPr>
      <t>²/sc</t>
    </r>
  </si>
  <si>
    <t>1.25</t>
  </si>
  <si>
    <t>1.60</t>
  </si>
  <si>
    <t>1.75</t>
  </si>
  <si>
    <t>101.8</t>
  </si>
  <si>
    <t>100.6</t>
  </si>
  <si>
    <t>19 - 153</t>
  </si>
  <si>
    <t>70 - 140</t>
  </si>
  <si>
    <t>NERY CASTILLO</t>
  </si>
  <si>
    <t>BETA-HCG</t>
  </si>
  <si>
    <r>
      <t xml:space="preserve">HOMBRES: </t>
    </r>
    <r>
      <rPr>
        <sz val="11"/>
        <color theme="1"/>
        <rFont val="Calibri"/>
        <family val="2"/>
      </rPr>
      <t>&lt;2.5 mlU/ml</t>
    </r>
  </si>
  <si>
    <t>NEGATIVO: 0 - 10 mlU/ml</t>
  </si>
  <si>
    <t>95 - 115</t>
  </si>
  <si>
    <t>YOLANDA AGREDA</t>
  </si>
  <si>
    <t>67 AÑOS</t>
  </si>
  <si>
    <t>142.8</t>
  </si>
  <si>
    <t>4.50</t>
  </si>
  <si>
    <t>90.0</t>
  </si>
  <si>
    <t xml:space="preserve">TOXO IgM </t>
  </si>
  <si>
    <t>70 - 110</t>
  </si>
  <si>
    <t>ZENAIDA LUCENA</t>
  </si>
  <si>
    <t>71 AÑOS</t>
  </si>
  <si>
    <t>RAMON MORALES</t>
  </si>
  <si>
    <t>75 AÑOS</t>
  </si>
  <si>
    <t>CLARO</t>
  </si>
  <si>
    <t>AMARILLO PALIDO</t>
  </si>
  <si>
    <t>POSITIVO (+)</t>
  </si>
  <si>
    <t>12 - 15 XC</t>
  </si>
  <si>
    <t>0 - 3 XC</t>
  </si>
  <si>
    <t>ESCASA XC</t>
  </si>
  <si>
    <t>LEYMAR BARRAZA</t>
  </si>
  <si>
    <t>5 AÑOS</t>
  </si>
  <si>
    <t>PASTOSA</t>
  </si>
  <si>
    <t>LILIBETH ORDAZ</t>
  </si>
  <si>
    <t>120.8</t>
  </si>
  <si>
    <t>28.5</t>
  </si>
  <si>
    <t>0.9</t>
  </si>
  <si>
    <t>2.0</t>
  </si>
  <si>
    <t>9.2</t>
  </si>
  <si>
    <t>4.2</t>
  </si>
  <si>
    <t>JESUS CALLASCO</t>
  </si>
  <si>
    <t>6.0</t>
  </si>
  <si>
    <t>32.0</t>
  </si>
  <si>
    <t>22.0</t>
  </si>
  <si>
    <t>49.4</t>
  </si>
  <si>
    <t>0.12</t>
  </si>
  <si>
    <t>0.44</t>
  </si>
  <si>
    <t>0.64</t>
  </si>
  <si>
    <t>MAGNESIO</t>
  </si>
  <si>
    <t>17.0</t>
  </si>
  <si>
    <t>1.0 - 10.0</t>
  </si>
  <si>
    <t>RELACION MAGNESIO/CREATININA</t>
  </si>
  <si>
    <t>0 - 0.40</t>
  </si>
  <si>
    <t>0.34</t>
  </si>
  <si>
    <t>MARITZA MEJIAS</t>
  </si>
  <si>
    <t>23 AÑOS</t>
  </si>
  <si>
    <t>METODO: CUALITATIVO</t>
  </si>
  <si>
    <t xml:space="preserve">0 - 1.0 </t>
  </si>
  <si>
    <t>0 - 4.0</t>
  </si>
  <si>
    <t>V.R: R PSAL/PSAT: MAYOR DE 15% MENOR RIESGO DE ENFERMEDAD PROSTATICA</t>
  </si>
  <si>
    <t>MENOR DE 15 % MAYOR RIESGO DE ENFERMEDAD PROSTATICA</t>
  </si>
  <si>
    <t>LIPASA</t>
  </si>
  <si>
    <t>0 - 190</t>
  </si>
  <si>
    <t>ALIANY ORDAZ</t>
  </si>
  <si>
    <t>282.09</t>
  </si>
  <si>
    <t>METODO: MICROELISA</t>
  </si>
  <si>
    <t>3era SEMANA: 100 - 1.000 mlU/ml</t>
  </si>
  <si>
    <t>4ta SEMANA: 1000 - 10.000 mlU/ml</t>
  </si>
  <si>
    <t>2-3 MESES: 30.000 - 100.000 mlU/ml</t>
  </si>
  <si>
    <t>98.0 - 279.0</t>
  </si>
</sst>
</file>

<file path=xl/styles.xml><?xml version="1.0" encoding="utf-8"?>
<styleSheet xmlns="http://schemas.openxmlformats.org/spreadsheetml/2006/main">
  <numFmts count="1">
    <numFmt numFmtId="164" formatCode="0.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10"/>
      <color theme="1"/>
      <name val="Arial Rounded MT Bold"/>
      <family val="2"/>
    </font>
    <font>
      <sz val="10"/>
      <color theme="1"/>
      <name val="Calibri"/>
      <family val="2"/>
    </font>
    <font>
      <i/>
      <sz val="8"/>
      <color rgb="FF000000"/>
      <name val="Iskoola Pota"/>
      <family val="2"/>
    </font>
    <font>
      <sz val="8"/>
      <color rgb="FF000000"/>
      <name val="Iskoola Pota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sz val="9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Arial Rounded MT Bold"/>
      <family val="2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7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2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center"/>
    </xf>
    <xf numFmtId="0" fontId="0" fillId="0" borderId="0" xfId="0" applyFon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3" fontId="7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0" fillId="0" borderId="0" xfId="0" applyNumberForma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Border="1" applyAlignment="1">
      <alignment horizontal="center"/>
    </xf>
    <xf numFmtId="0" fontId="20" fillId="0" borderId="0" xfId="0" applyFont="1"/>
    <xf numFmtId="14" fontId="0" fillId="0" borderId="0" xfId="0" applyNumberFormat="1" applyAlignment="1">
      <alignment horizontal="left"/>
    </xf>
    <xf numFmtId="0" fontId="21" fillId="0" borderId="0" xfId="0" applyFont="1"/>
    <xf numFmtId="0" fontId="22" fillId="0" borderId="0" xfId="0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14" fontId="1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21</xdr:row>
      <xdr:rowOff>133350</xdr:rowOff>
    </xdr:from>
    <xdr:to>
      <xdr:col>5</xdr:col>
      <xdr:colOff>1304925</xdr:colOff>
      <xdr:row>24</xdr:row>
      <xdr:rowOff>123825</xdr:rowOff>
    </xdr:to>
    <xdr:sp macro="" textlink="">
      <xdr:nvSpPr>
        <xdr:cNvPr id="2" name="1 CuadroTexto"/>
        <xdr:cNvSpPr txBox="1"/>
      </xdr:nvSpPr>
      <xdr:spPr>
        <a:xfrm>
          <a:off x="3752850" y="3552825"/>
          <a:ext cx="1628775" cy="50482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733425</xdr:colOff>
      <xdr:row>3</xdr:row>
      <xdr:rowOff>133350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21</xdr:row>
      <xdr:rowOff>66675</xdr:rowOff>
    </xdr:from>
    <xdr:to>
      <xdr:col>6</xdr:col>
      <xdr:colOff>781050</xdr:colOff>
      <xdr:row>24</xdr:row>
      <xdr:rowOff>57150</xdr:rowOff>
    </xdr:to>
    <xdr:sp macro="" textlink="">
      <xdr:nvSpPr>
        <xdr:cNvPr id="2" name="1 CuadroTexto"/>
        <xdr:cNvSpPr txBox="1"/>
      </xdr:nvSpPr>
      <xdr:spPr>
        <a:xfrm>
          <a:off x="3981450" y="3581400"/>
          <a:ext cx="13716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20</xdr:row>
      <xdr:rowOff>171450</xdr:rowOff>
    </xdr:from>
    <xdr:to>
      <xdr:col>6</xdr:col>
      <xdr:colOff>1152525</xdr:colOff>
      <xdr:row>23</xdr:row>
      <xdr:rowOff>161925</xdr:rowOff>
    </xdr:to>
    <xdr:sp macro="" textlink="">
      <xdr:nvSpPr>
        <xdr:cNvPr id="2" name="1 CuadroTexto"/>
        <xdr:cNvSpPr txBox="1"/>
      </xdr:nvSpPr>
      <xdr:spPr>
        <a:xfrm>
          <a:off x="4381500" y="3981450"/>
          <a:ext cx="13430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21</xdr:row>
      <xdr:rowOff>57150</xdr:rowOff>
    </xdr:from>
    <xdr:to>
      <xdr:col>6</xdr:col>
      <xdr:colOff>581025</xdr:colOff>
      <xdr:row>24</xdr:row>
      <xdr:rowOff>76200</xdr:rowOff>
    </xdr:to>
    <xdr:sp macro="" textlink="">
      <xdr:nvSpPr>
        <xdr:cNvPr id="2" name="1 CuadroTexto"/>
        <xdr:cNvSpPr txBox="1"/>
      </xdr:nvSpPr>
      <xdr:spPr>
        <a:xfrm>
          <a:off x="3733800" y="3571875"/>
          <a:ext cx="13811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20</xdr:row>
      <xdr:rowOff>28575</xdr:rowOff>
    </xdr:from>
    <xdr:to>
      <xdr:col>6</xdr:col>
      <xdr:colOff>1143000</xdr:colOff>
      <xdr:row>23</xdr:row>
      <xdr:rowOff>47625</xdr:rowOff>
    </xdr:to>
    <xdr:sp macro="" textlink="">
      <xdr:nvSpPr>
        <xdr:cNvPr id="2" name="1 CuadroTexto"/>
        <xdr:cNvSpPr txBox="1"/>
      </xdr:nvSpPr>
      <xdr:spPr>
        <a:xfrm>
          <a:off x="4343400" y="3409950"/>
          <a:ext cx="13716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19</xdr:row>
      <xdr:rowOff>95250</xdr:rowOff>
    </xdr:from>
    <xdr:to>
      <xdr:col>6</xdr:col>
      <xdr:colOff>1009650</xdr:colOff>
      <xdr:row>22</xdr:row>
      <xdr:rowOff>57150</xdr:rowOff>
    </xdr:to>
    <xdr:sp macro="" textlink="">
      <xdr:nvSpPr>
        <xdr:cNvPr id="2" name="1 CuadroTexto"/>
        <xdr:cNvSpPr txBox="1"/>
      </xdr:nvSpPr>
      <xdr:spPr>
        <a:xfrm>
          <a:off x="4210050" y="3343275"/>
          <a:ext cx="13716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19</xdr:row>
      <xdr:rowOff>19050</xdr:rowOff>
    </xdr:from>
    <xdr:to>
      <xdr:col>6</xdr:col>
      <xdr:colOff>904875</xdr:colOff>
      <xdr:row>22</xdr:row>
      <xdr:rowOff>19050</xdr:rowOff>
    </xdr:to>
    <xdr:sp macro="" textlink="">
      <xdr:nvSpPr>
        <xdr:cNvPr id="2" name="1 CuadroTexto"/>
        <xdr:cNvSpPr txBox="1"/>
      </xdr:nvSpPr>
      <xdr:spPr>
        <a:xfrm>
          <a:off x="3952875" y="3238500"/>
          <a:ext cx="15240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19</xdr:row>
      <xdr:rowOff>47625</xdr:rowOff>
    </xdr:from>
    <xdr:to>
      <xdr:col>6</xdr:col>
      <xdr:colOff>838200</xdr:colOff>
      <xdr:row>22</xdr:row>
      <xdr:rowOff>47625</xdr:rowOff>
    </xdr:to>
    <xdr:sp macro="" textlink="">
      <xdr:nvSpPr>
        <xdr:cNvPr id="2" name="1 CuadroTexto"/>
        <xdr:cNvSpPr txBox="1"/>
      </xdr:nvSpPr>
      <xdr:spPr>
        <a:xfrm>
          <a:off x="4010025" y="3267075"/>
          <a:ext cx="14001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18</xdr:row>
      <xdr:rowOff>0</xdr:rowOff>
    </xdr:from>
    <xdr:to>
      <xdr:col>6</xdr:col>
      <xdr:colOff>1009650</xdr:colOff>
      <xdr:row>20</xdr:row>
      <xdr:rowOff>152400</xdr:rowOff>
    </xdr:to>
    <xdr:sp macro="" textlink="">
      <xdr:nvSpPr>
        <xdr:cNvPr id="2" name="1 CuadroTexto"/>
        <xdr:cNvSpPr txBox="1"/>
      </xdr:nvSpPr>
      <xdr:spPr>
        <a:xfrm>
          <a:off x="4210050" y="3143250"/>
          <a:ext cx="13716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22</xdr:row>
      <xdr:rowOff>19050</xdr:rowOff>
    </xdr:from>
    <xdr:to>
      <xdr:col>6</xdr:col>
      <xdr:colOff>838200</xdr:colOff>
      <xdr:row>25</xdr:row>
      <xdr:rowOff>19050</xdr:rowOff>
    </xdr:to>
    <xdr:sp macro="" textlink="">
      <xdr:nvSpPr>
        <xdr:cNvPr id="2" name="1 CuadroTexto"/>
        <xdr:cNvSpPr txBox="1"/>
      </xdr:nvSpPr>
      <xdr:spPr>
        <a:xfrm>
          <a:off x="4114800" y="3724275"/>
          <a:ext cx="13716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22</xdr:row>
      <xdr:rowOff>9525</xdr:rowOff>
    </xdr:from>
    <xdr:to>
      <xdr:col>6</xdr:col>
      <xdr:colOff>1038225</xdr:colOff>
      <xdr:row>25</xdr:row>
      <xdr:rowOff>9525</xdr:rowOff>
    </xdr:to>
    <xdr:sp macro="" textlink="">
      <xdr:nvSpPr>
        <xdr:cNvPr id="2" name="1 CuadroTexto"/>
        <xdr:cNvSpPr txBox="1"/>
      </xdr:nvSpPr>
      <xdr:spPr>
        <a:xfrm>
          <a:off x="4352925" y="3714750"/>
          <a:ext cx="1371600" cy="4857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19</xdr:row>
      <xdr:rowOff>114300</xdr:rowOff>
    </xdr:from>
    <xdr:to>
      <xdr:col>6</xdr:col>
      <xdr:colOff>638175</xdr:colOff>
      <xdr:row>22</xdr:row>
      <xdr:rowOff>104775</xdr:rowOff>
    </xdr:to>
    <xdr:sp macro="" textlink="">
      <xdr:nvSpPr>
        <xdr:cNvPr id="3" name="2 CuadroTexto"/>
        <xdr:cNvSpPr txBox="1"/>
      </xdr:nvSpPr>
      <xdr:spPr>
        <a:xfrm>
          <a:off x="3838575" y="3733800"/>
          <a:ext cx="13716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4" name="3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18</xdr:row>
      <xdr:rowOff>152400</xdr:rowOff>
    </xdr:from>
    <xdr:to>
      <xdr:col>6</xdr:col>
      <xdr:colOff>942975</xdr:colOff>
      <xdr:row>21</xdr:row>
      <xdr:rowOff>142875</xdr:rowOff>
    </xdr:to>
    <xdr:sp macro="" textlink="">
      <xdr:nvSpPr>
        <xdr:cNvPr id="2" name="1 CuadroTexto"/>
        <xdr:cNvSpPr txBox="1"/>
      </xdr:nvSpPr>
      <xdr:spPr>
        <a:xfrm>
          <a:off x="4143375" y="3581400"/>
          <a:ext cx="13716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19</xdr:row>
      <xdr:rowOff>123825</xdr:rowOff>
    </xdr:from>
    <xdr:to>
      <xdr:col>6</xdr:col>
      <xdr:colOff>942975</xdr:colOff>
      <xdr:row>22</xdr:row>
      <xdr:rowOff>114300</xdr:rowOff>
    </xdr:to>
    <xdr:sp macro="" textlink="">
      <xdr:nvSpPr>
        <xdr:cNvPr id="2" name="1 CuadroTexto"/>
        <xdr:cNvSpPr txBox="1"/>
      </xdr:nvSpPr>
      <xdr:spPr>
        <a:xfrm>
          <a:off x="4210050" y="3629025"/>
          <a:ext cx="13716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19</xdr:row>
      <xdr:rowOff>28575</xdr:rowOff>
    </xdr:from>
    <xdr:to>
      <xdr:col>6</xdr:col>
      <xdr:colOff>828675</xdr:colOff>
      <xdr:row>22</xdr:row>
      <xdr:rowOff>19050</xdr:rowOff>
    </xdr:to>
    <xdr:sp macro="" textlink="">
      <xdr:nvSpPr>
        <xdr:cNvPr id="2" name="1 CuadroTexto"/>
        <xdr:cNvSpPr txBox="1"/>
      </xdr:nvSpPr>
      <xdr:spPr>
        <a:xfrm>
          <a:off x="4029075" y="3219450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3" name="2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95250</xdr:colOff>
      <xdr:row>21</xdr:row>
      <xdr:rowOff>47625</xdr:rowOff>
    </xdr:from>
    <xdr:to>
      <xdr:col>6</xdr:col>
      <xdr:colOff>704850</xdr:colOff>
      <xdr:row>24</xdr:row>
      <xdr:rowOff>38100</xdr:rowOff>
    </xdr:to>
    <xdr:sp macro="" textlink="">
      <xdr:nvSpPr>
        <xdr:cNvPr id="3" name="2 CuadroTexto"/>
        <xdr:cNvSpPr txBox="1"/>
      </xdr:nvSpPr>
      <xdr:spPr>
        <a:xfrm>
          <a:off x="3905250" y="3562350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609600</xdr:colOff>
      <xdr:row>23</xdr:row>
      <xdr:rowOff>152400</xdr:rowOff>
    </xdr:to>
    <xdr:sp macro="" textlink="">
      <xdr:nvSpPr>
        <xdr:cNvPr id="3" name="2 CuadroTexto"/>
        <xdr:cNvSpPr txBox="1"/>
      </xdr:nvSpPr>
      <xdr:spPr>
        <a:xfrm>
          <a:off x="4057650" y="3514725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104775</xdr:rowOff>
    </xdr:from>
    <xdr:to>
      <xdr:col>6</xdr:col>
      <xdr:colOff>609600</xdr:colOff>
      <xdr:row>23</xdr:row>
      <xdr:rowOff>95250</xdr:rowOff>
    </xdr:to>
    <xdr:sp macro="" textlink="">
      <xdr:nvSpPr>
        <xdr:cNvPr id="3" name="2 CuadroTexto"/>
        <xdr:cNvSpPr txBox="1"/>
      </xdr:nvSpPr>
      <xdr:spPr>
        <a:xfrm>
          <a:off x="3810000" y="3457575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114300</xdr:rowOff>
    </xdr:from>
    <xdr:to>
      <xdr:col>6</xdr:col>
      <xdr:colOff>609600</xdr:colOff>
      <xdr:row>23</xdr:row>
      <xdr:rowOff>152400</xdr:rowOff>
    </xdr:to>
    <xdr:sp macro="" textlink="">
      <xdr:nvSpPr>
        <xdr:cNvPr id="3" name="2 CuadroTexto"/>
        <xdr:cNvSpPr txBox="1"/>
      </xdr:nvSpPr>
      <xdr:spPr>
        <a:xfrm>
          <a:off x="3810000" y="3467100"/>
          <a:ext cx="1371600" cy="5238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609600</xdr:colOff>
      <xdr:row>23</xdr:row>
      <xdr:rowOff>142875</xdr:rowOff>
    </xdr:to>
    <xdr:sp macro="" textlink="">
      <xdr:nvSpPr>
        <xdr:cNvPr id="3" name="2 CuadroTexto"/>
        <xdr:cNvSpPr txBox="1"/>
      </xdr:nvSpPr>
      <xdr:spPr>
        <a:xfrm>
          <a:off x="3810000" y="4000500"/>
          <a:ext cx="1371600" cy="5238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24</xdr:row>
      <xdr:rowOff>142875</xdr:rowOff>
    </xdr:to>
    <xdr:sp macro="" textlink="">
      <xdr:nvSpPr>
        <xdr:cNvPr id="3" name="2 CuadroTexto"/>
        <xdr:cNvSpPr txBox="1"/>
      </xdr:nvSpPr>
      <xdr:spPr>
        <a:xfrm>
          <a:off x="3810000" y="3676650"/>
          <a:ext cx="1371600" cy="4667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24</xdr:row>
      <xdr:rowOff>142875</xdr:rowOff>
    </xdr:to>
    <xdr:sp macro="" textlink="">
      <xdr:nvSpPr>
        <xdr:cNvPr id="3" name="2 CuadroTexto"/>
        <xdr:cNvSpPr txBox="1"/>
      </xdr:nvSpPr>
      <xdr:spPr>
        <a:xfrm>
          <a:off x="3810000" y="3714750"/>
          <a:ext cx="1371600" cy="46672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85725</xdr:rowOff>
    </xdr:from>
    <xdr:to>
      <xdr:col>6</xdr:col>
      <xdr:colOff>609600</xdr:colOff>
      <xdr:row>24</xdr:row>
      <xdr:rowOff>85725</xdr:rowOff>
    </xdr:to>
    <xdr:sp macro="" textlink="">
      <xdr:nvSpPr>
        <xdr:cNvPr id="3" name="2 CuadroTexto"/>
        <xdr:cNvSpPr txBox="1"/>
      </xdr:nvSpPr>
      <xdr:spPr>
        <a:xfrm>
          <a:off x="3810000" y="3600450"/>
          <a:ext cx="1371600" cy="48577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38101</xdr:rowOff>
    </xdr:from>
    <xdr:to>
      <xdr:col>6</xdr:col>
      <xdr:colOff>609600</xdr:colOff>
      <xdr:row>24</xdr:row>
      <xdr:rowOff>104776</xdr:rowOff>
    </xdr:to>
    <xdr:sp macro="" textlink="">
      <xdr:nvSpPr>
        <xdr:cNvPr id="3" name="2 CuadroTexto"/>
        <xdr:cNvSpPr txBox="1"/>
      </xdr:nvSpPr>
      <xdr:spPr>
        <a:xfrm>
          <a:off x="3810000" y="3552826"/>
          <a:ext cx="1371600" cy="5524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25</xdr:row>
      <xdr:rowOff>66675</xdr:rowOff>
    </xdr:to>
    <xdr:sp macro="" textlink="">
      <xdr:nvSpPr>
        <xdr:cNvPr id="3" name="2 CuadroTexto"/>
        <xdr:cNvSpPr txBox="1"/>
      </xdr:nvSpPr>
      <xdr:spPr>
        <a:xfrm>
          <a:off x="3810000" y="3676650"/>
          <a:ext cx="1371600" cy="5524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24</xdr:row>
      <xdr:rowOff>171450</xdr:rowOff>
    </xdr:to>
    <xdr:sp macro="" textlink="">
      <xdr:nvSpPr>
        <xdr:cNvPr id="3" name="2 CuadroTexto"/>
        <xdr:cNvSpPr txBox="1"/>
      </xdr:nvSpPr>
      <xdr:spPr>
        <a:xfrm>
          <a:off x="3810000" y="4191000"/>
          <a:ext cx="1371600" cy="5524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25</xdr:row>
      <xdr:rowOff>9525</xdr:rowOff>
    </xdr:to>
    <xdr:sp macro="" textlink="">
      <xdr:nvSpPr>
        <xdr:cNvPr id="3" name="2 CuadroTexto"/>
        <xdr:cNvSpPr txBox="1"/>
      </xdr:nvSpPr>
      <xdr:spPr>
        <a:xfrm>
          <a:off x="3810000" y="3676650"/>
          <a:ext cx="1371600" cy="4953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6</xdr:col>
      <xdr:colOff>609600</xdr:colOff>
      <xdr:row>24</xdr:row>
      <xdr:rowOff>114300</xdr:rowOff>
    </xdr:to>
    <xdr:sp macro="" textlink="">
      <xdr:nvSpPr>
        <xdr:cNvPr id="3" name="2 CuadroTexto"/>
        <xdr:cNvSpPr txBox="1"/>
      </xdr:nvSpPr>
      <xdr:spPr>
        <a:xfrm>
          <a:off x="3810000" y="4191000"/>
          <a:ext cx="1371600" cy="4953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38100</xdr:colOff>
      <xdr:row>22</xdr:row>
      <xdr:rowOff>47625</xdr:rowOff>
    </xdr:from>
    <xdr:to>
      <xdr:col>6</xdr:col>
      <xdr:colOff>647700</xdr:colOff>
      <xdr:row>25</xdr:row>
      <xdr:rowOff>95250</xdr:rowOff>
    </xdr:to>
    <xdr:sp macro="" textlink="">
      <xdr:nvSpPr>
        <xdr:cNvPr id="3" name="2 CuadroTexto"/>
        <xdr:cNvSpPr txBox="1"/>
      </xdr:nvSpPr>
      <xdr:spPr>
        <a:xfrm>
          <a:off x="3848100" y="3724275"/>
          <a:ext cx="1371600" cy="5334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752475</xdr:colOff>
      <xdr:row>21</xdr:row>
      <xdr:rowOff>28575</xdr:rowOff>
    </xdr:from>
    <xdr:to>
      <xdr:col>6</xdr:col>
      <xdr:colOff>600075</xdr:colOff>
      <xdr:row>24</xdr:row>
      <xdr:rowOff>76200</xdr:rowOff>
    </xdr:to>
    <xdr:sp macro="" textlink="">
      <xdr:nvSpPr>
        <xdr:cNvPr id="3" name="2 CuadroTexto"/>
        <xdr:cNvSpPr txBox="1"/>
      </xdr:nvSpPr>
      <xdr:spPr>
        <a:xfrm>
          <a:off x="3800475" y="3543300"/>
          <a:ext cx="1371600" cy="5334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609600</xdr:colOff>
      <xdr:row>23</xdr:row>
      <xdr:rowOff>152400</xdr:rowOff>
    </xdr:to>
    <xdr:sp macro="" textlink="">
      <xdr:nvSpPr>
        <xdr:cNvPr id="3" name="2 CuadroTexto"/>
        <xdr:cNvSpPr txBox="1"/>
      </xdr:nvSpPr>
      <xdr:spPr>
        <a:xfrm>
          <a:off x="3810000" y="4000500"/>
          <a:ext cx="1371600" cy="53340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514350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609600</xdr:colOff>
      <xdr:row>23</xdr:row>
      <xdr:rowOff>152400</xdr:rowOff>
    </xdr:to>
    <xdr:sp macro="" textlink="">
      <xdr:nvSpPr>
        <xdr:cNvPr id="3" name="2 CuadroTexto"/>
        <xdr:cNvSpPr txBox="1"/>
      </xdr:nvSpPr>
      <xdr:spPr>
        <a:xfrm>
          <a:off x="4067175" y="3514725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3</xdr:row>
      <xdr:rowOff>133349</xdr:rowOff>
    </xdr:to>
    <xdr:pic>
      <xdr:nvPicPr>
        <xdr:cNvPr id="2" name="1 Imagen" descr="C:\Users\Equipo 2\AppData\Local\Microsoft\Windows\Temporary Internet Files\Content.Word\IMG_20220311_073050_752.pn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219325" cy="704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6</xdr:col>
      <xdr:colOff>609600</xdr:colOff>
      <xdr:row>23</xdr:row>
      <xdr:rowOff>152400</xdr:rowOff>
    </xdr:to>
    <xdr:sp macro="" textlink="">
      <xdr:nvSpPr>
        <xdr:cNvPr id="3" name="2 CuadroTexto"/>
        <xdr:cNvSpPr txBox="1"/>
      </xdr:nvSpPr>
      <xdr:spPr>
        <a:xfrm>
          <a:off x="3810000" y="3514725"/>
          <a:ext cx="1371600" cy="47625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VE" sz="800" i="1">
              <a:latin typeface="Iskoola Pota" pitchFamily="34" charset="0"/>
              <a:cs typeface="Iskoola Pota" pitchFamily="34" charset="0"/>
            </a:rPr>
            <a:t>Lcda.</a:t>
          </a:r>
          <a:r>
            <a:rPr lang="es-VE" sz="800" i="1" baseline="0">
              <a:latin typeface="Iskoola Pota" pitchFamily="34" charset="0"/>
              <a:cs typeface="Iskoola Pota" pitchFamily="34" charset="0"/>
            </a:rPr>
            <a:t> Fabiola Capua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BIOANALISTA</a:t>
          </a:r>
        </a:p>
        <a:p>
          <a:pPr algn="ctr"/>
          <a:r>
            <a:rPr lang="es-VE" sz="800" i="0" baseline="0">
              <a:latin typeface="Iskoola Pota" pitchFamily="34" charset="0"/>
              <a:cs typeface="Iskoola Pota" pitchFamily="34" charset="0"/>
            </a:rPr>
            <a:t>M.P.P.S.17.511 C.B 13.481</a:t>
          </a:r>
          <a:endParaRPr lang="es-VE" sz="800" i="0">
            <a:latin typeface="Iskoola Pota" pitchFamily="34" charset="0"/>
            <a:cs typeface="Iskoola Pota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21" sqref="C21"/>
    </sheetView>
  </sheetViews>
  <sheetFormatPr baseColWidth="10" defaultRowHeight="15"/>
  <cols>
    <col min="2" max="2" width="10.85546875" customWidth="1"/>
    <col min="3" max="3" width="11.5703125" bestFit="1" customWidth="1"/>
    <col min="4" max="4" width="11.85546875" customWidth="1"/>
    <col min="5" max="5" width="15.42578125" customWidth="1"/>
    <col min="6" max="6" width="21" customWidth="1"/>
    <col min="7" max="7" width="19.42578125" customWidth="1"/>
  </cols>
  <sheetData>
    <row r="1" spans="1:10">
      <c r="A1" s="1"/>
      <c r="B1" s="1"/>
      <c r="C1" s="1"/>
      <c r="D1" s="1"/>
      <c r="E1" s="1"/>
      <c r="F1" s="1"/>
      <c r="G1" s="1"/>
      <c r="J1" s="4"/>
    </row>
    <row r="2" spans="1:10">
      <c r="A2" s="1"/>
      <c r="B2" s="1"/>
      <c r="C2" s="1"/>
      <c r="D2" s="1"/>
      <c r="E2" s="1"/>
      <c r="F2" s="1"/>
      <c r="G2" s="1"/>
    </row>
    <row r="3" spans="1:10">
      <c r="A3" s="1"/>
      <c r="B3" s="1"/>
      <c r="C3" s="1"/>
      <c r="D3" s="1"/>
      <c r="E3" s="1"/>
      <c r="F3" s="1"/>
      <c r="G3" s="1"/>
    </row>
    <row r="4" spans="1:10" ht="12.75" customHeight="1">
      <c r="A4" s="1"/>
      <c r="B4" s="1"/>
      <c r="C4" s="1"/>
      <c r="D4" s="9" t="s">
        <v>0</v>
      </c>
      <c r="E4" s="10"/>
      <c r="F4" s="22" t="s">
        <v>1</v>
      </c>
    </row>
    <row r="5" spans="1:10" ht="12" customHeight="1">
      <c r="A5" s="9" t="s">
        <v>2</v>
      </c>
      <c r="B5" s="1"/>
      <c r="C5" s="1"/>
      <c r="D5" s="1"/>
      <c r="E5" s="1"/>
      <c r="F5" s="1">
        <v>5</v>
      </c>
      <c r="G5" s="1"/>
      <c r="H5" s="1"/>
    </row>
    <row r="6" spans="1:10" ht="12.75" customHeight="1">
      <c r="A6" s="1" t="s">
        <v>3</v>
      </c>
      <c r="B6" s="26">
        <v>18174805</v>
      </c>
      <c r="C6" s="1" t="s">
        <v>7</v>
      </c>
      <c r="D6" s="1" t="s">
        <v>438</v>
      </c>
      <c r="E6" s="1"/>
      <c r="F6" s="1"/>
      <c r="G6" s="1"/>
      <c r="H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257</v>
      </c>
      <c r="E7" s="1"/>
      <c r="F7" s="1"/>
      <c r="G7" s="1"/>
    </row>
    <row r="8" spans="1:10" ht="12" customHeight="1">
      <c r="A8" s="1" t="s">
        <v>5</v>
      </c>
      <c r="B8" s="20">
        <v>44825</v>
      </c>
      <c r="C8" s="1"/>
      <c r="D8" s="1"/>
      <c r="E8" s="1"/>
      <c r="F8" s="1"/>
      <c r="G8" s="1"/>
    </row>
    <row r="9" spans="1:10" ht="12.75" customHeight="1">
      <c r="C9" s="3" t="s">
        <v>196</v>
      </c>
    </row>
    <row r="10" spans="1:10" ht="9" customHeight="1"/>
    <row r="11" spans="1:10" ht="12" customHeight="1">
      <c r="A11" s="2" t="s">
        <v>31</v>
      </c>
      <c r="C11" s="2" t="s">
        <v>8</v>
      </c>
      <c r="E11" s="2" t="s">
        <v>9</v>
      </c>
    </row>
    <row r="12" spans="1:10" ht="12.75" customHeight="1">
      <c r="A12" s="8" t="s">
        <v>10</v>
      </c>
      <c r="B12" s="8"/>
      <c r="C12" s="11">
        <f>C13*0.11</f>
        <v>4.18</v>
      </c>
      <c r="E12" s="12" t="s">
        <v>11</v>
      </c>
      <c r="F12" s="12" t="s">
        <v>147</v>
      </c>
    </row>
    <row r="13" spans="1:10" ht="13.5" customHeight="1">
      <c r="A13" s="8" t="s">
        <v>12</v>
      </c>
      <c r="B13" s="8"/>
      <c r="C13" s="13">
        <v>38</v>
      </c>
      <c r="E13" s="12" t="s">
        <v>13</v>
      </c>
      <c r="F13" s="12" t="s">
        <v>14</v>
      </c>
    </row>
    <row r="14" spans="1:10" ht="12.75" customHeight="1">
      <c r="A14" s="8" t="s">
        <v>15</v>
      </c>
      <c r="B14" s="8"/>
      <c r="C14" s="13">
        <f>C13*0.32</f>
        <v>12.16</v>
      </c>
      <c r="E14" s="12" t="s">
        <v>16</v>
      </c>
      <c r="F14" s="12" t="s">
        <v>17</v>
      </c>
    </row>
    <row r="15" spans="1:10" ht="12.75" customHeight="1">
      <c r="A15" s="8" t="s">
        <v>18</v>
      </c>
      <c r="B15" s="8"/>
      <c r="C15" s="12">
        <v>4600</v>
      </c>
      <c r="D15" s="8"/>
      <c r="E15" s="12" t="s">
        <v>24</v>
      </c>
      <c r="F15" s="12" t="s">
        <v>148</v>
      </c>
    </row>
    <row r="16" spans="1:10" ht="12.75" customHeight="1">
      <c r="A16" s="8" t="s">
        <v>19</v>
      </c>
      <c r="B16" s="8"/>
      <c r="C16" s="21">
        <v>225000</v>
      </c>
      <c r="D16" s="8"/>
      <c r="E16" s="12" t="s">
        <v>25</v>
      </c>
      <c r="F16" s="12" t="s">
        <v>26</v>
      </c>
    </row>
    <row r="17" spans="1:6" ht="12.75" customHeight="1">
      <c r="A17" s="8"/>
      <c r="B17" s="8"/>
      <c r="C17" s="14" t="s">
        <v>20</v>
      </c>
      <c r="D17" s="8"/>
      <c r="E17" s="8"/>
      <c r="F17" s="8"/>
    </row>
    <row r="18" spans="1:6" ht="12.75" customHeight="1">
      <c r="A18" s="8" t="s">
        <v>21</v>
      </c>
      <c r="B18" s="8"/>
      <c r="C18" s="12">
        <v>59</v>
      </c>
      <c r="D18" s="8"/>
      <c r="E18" s="12" t="s">
        <v>27</v>
      </c>
      <c r="F18" s="12" t="s">
        <v>14</v>
      </c>
    </row>
    <row r="19" spans="1:6" ht="12.75" customHeight="1">
      <c r="A19" s="8" t="s">
        <v>22</v>
      </c>
      <c r="B19" s="8"/>
      <c r="C19" s="12">
        <v>41</v>
      </c>
      <c r="D19" s="8"/>
      <c r="E19" s="12" t="s">
        <v>28</v>
      </c>
      <c r="F19" s="12" t="s">
        <v>14</v>
      </c>
    </row>
    <row r="20" spans="1:6" ht="12.75" customHeight="1">
      <c r="A20" s="8" t="s">
        <v>23</v>
      </c>
      <c r="B20" s="8"/>
      <c r="C20" s="12">
        <v>0</v>
      </c>
      <c r="D20" s="8"/>
      <c r="E20" s="12" t="s">
        <v>29</v>
      </c>
      <c r="F20" s="12" t="s">
        <v>14</v>
      </c>
    </row>
    <row r="21" spans="1:6" ht="12.75" customHeight="1">
      <c r="A21" s="8" t="s">
        <v>365</v>
      </c>
      <c r="C21" s="12">
        <v>0</v>
      </c>
      <c r="E21" s="12" t="s">
        <v>364</v>
      </c>
      <c r="F21" s="12" t="s">
        <v>14</v>
      </c>
    </row>
    <row r="22" spans="1:6" ht="12.75" customHeight="1">
      <c r="A22" s="23" t="s">
        <v>138</v>
      </c>
      <c r="B22" s="23"/>
      <c r="C22" s="24">
        <v>41</v>
      </c>
      <c r="D22" s="23"/>
      <c r="E22" s="24" t="s">
        <v>139</v>
      </c>
      <c r="F22" s="24" t="s">
        <v>140</v>
      </c>
    </row>
    <row r="23" spans="1:6" ht="12.75" customHeight="1">
      <c r="A23" s="27"/>
      <c r="B23" s="27"/>
      <c r="C23" s="27"/>
      <c r="D23" s="27"/>
      <c r="E23" s="27"/>
      <c r="F23" s="27"/>
    </row>
    <row r="25" spans="1:6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20" sqref="C20"/>
    </sheetView>
  </sheetViews>
  <sheetFormatPr baseColWidth="10" defaultRowHeight="15"/>
  <cols>
    <col min="7" max="7" width="16.1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G5">
        <v>5</v>
      </c>
      <c r="H5" s="1"/>
      <c r="I5" s="1"/>
      <c r="J5" s="1"/>
    </row>
    <row r="6" spans="1:10" ht="12.75" customHeight="1">
      <c r="A6" s="1" t="s">
        <v>3</v>
      </c>
      <c r="B6" s="18">
        <v>18174805</v>
      </c>
      <c r="C6" s="1" t="s">
        <v>7</v>
      </c>
      <c r="D6" s="1" t="s">
        <v>438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257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44825</v>
      </c>
      <c r="C8" s="1"/>
    </row>
    <row r="9" spans="1:10" ht="12.75" customHeight="1">
      <c r="C9" s="3" t="s">
        <v>30</v>
      </c>
    </row>
    <row r="10" spans="1:10" ht="12.75" customHeight="1"/>
    <row r="11" spans="1:10" ht="12.75" customHeight="1">
      <c r="A11" s="2" t="s">
        <v>31</v>
      </c>
      <c r="C11" s="2" t="s">
        <v>8</v>
      </c>
      <c r="F11" s="2" t="s">
        <v>9</v>
      </c>
    </row>
    <row r="12" spans="1:10" ht="12.75" customHeight="1">
      <c r="A12" s="29" t="s">
        <v>32</v>
      </c>
      <c r="B12" s="29"/>
      <c r="C12" s="30" t="s">
        <v>439</v>
      </c>
      <c r="D12" s="29"/>
      <c r="E12" s="29"/>
      <c r="F12" s="30" t="s">
        <v>424</v>
      </c>
      <c r="G12" s="30" t="s">
        <v>37</v>
      </c>
    </row>
    <row r="13" spans="1:10" ht="12.75" customHeight="1">
      <c r="A13" s="29" t="s">
        <v>33</v>
      </c>
      <c r="B13" s="29"/>
      <c r="C13" s="30" t="s">
        <v>440</v>
      </c>
      <c r="D13" s="29"/>
      <c r="E13" s="29"/>
      <c r="F13" s="30" t="s">
        <v>341</v>
      </c>
      <c r="G13" s="30" t="s">
        <v>37</v>
      </c>
    </row>
    <row r="14" spans="1:10" ht="12.75" customHeight="1">
      <c r="A14" s="29" t="s">
        <v>34</v>
      </c>
      <c r="B14" s="29"/>
      <c r="C14" s="30" t="s">
        <v>441</v>
      </c>
      <c r="D14" s="29"/>
      <c r="E14" s="29"/>
      <c r="F14" s="30" t="s">
        <v>39</v>
      </c>
      <c r="G14" s="30" t="s">
        <v>37</v>
      </c>
    </row>
    <row r="15" spans="1:10" ht="12.75" customHeight="1">
      <c r="A15" s="29" t="s">
        <v>194</v>
      </c>
      <c r="B15" s="29"/>
      <c r="C15" s="30" t="s">
        <v>442</v>
      </c>
      <c r="D15" s="29"/>
      <c r="E15" s="29"/>
      <c r="F15" s="30" t="s">
        <v>195</v>
      </c>
      <c r="G15" s="30" t="s">
        <v>37</v>
      </c>
    </row>
    <row r="16" spans="1:10" ht="12.75" customHeight="1">
      <c r="A16" s="23" t="s">
        <v>247</v>
      </c>
      <c r="B16" s="23"/>
      <c r="C16" s="24" t="s">
        <v>359</v>
      </c>
      <c r="D16" s="23"/>
      <c r="E16" s="23"/>
      <c r="F16" s="24" t="s">
        <v>40</v>
      </c>
      <c r="G16" s="24" t="s">
        <v>37</v>
      </c>
    </row>
    <row r="17" spans="1:9" ht="12.75" customHeight="1">
      <c r="A17" s="23" t="s">
        <v>35</v>
      </c>
      <c r="B17" s="23"/>
      <c r="C17" s="24" t="s">
        <v>360</v>
      </c>
      <c r="D17" s="24"/>
      <c r="E17" s="23"/>
      <c r="F17" s="24" t="s">
        <v>41</v>
      </c>
      <c r="G17" s="24" t="s">
        <v>37</v>
      </c>
    </row>
    <row r="18" spans="1:9" ht="12.75" customHeight="1">
      <c r="A18" s="29" t="s">
        <v>134</v>
      </c>
      <c r="B18" s="29"/>
      <c r="C18" s="30" t="s">
        <v>443</v>
      </c>
      <c r="D18" s="29"/>
      <c r="E18" s="29"/>
      <c r="F18" s="30" t="s">
        <v>135</v>
      </c>
      <c r="G18" s="30" t="s">
        <v>37</v>
      </c>
    </row>
    <row r="19" spans="1:9" ht="12.75" customHeight="1">
      <c r="A19" s="29" t="s">
        <v>136</v>
      </c>
      <c r="B19" s="29"/>
      <c r="C19" s="30" t="s">
        <v>444</v>
      </c>
      <c r="D19" s="29"/>
      <c r="E19" s="29" t="s">
        <v>342</v>
      </c>
      <c r="F19" s="30" t="s">
        <v>137</v>
      </c>
      <c r="G19" s="30" t="s">
        <v>37</v>
      </c>
    </row>
    <row r="20" spans="1:9" ht="12.75" customHeight="1">
      <c r="A20" s="39"/>
      <c r="B20" s="39"/>
      <c r="C20" s="39"/>
      <c r="D20" s="39"/>
      <c r="E20" s="29" t="s">
        <v>343</v>
      </c>
      <c r="F20" s="30" t="s">
        <v>344</v>
      </c>
      <c r="G20" s="30" t="s">
        <v>37</v>
      </c>
    </row>
    <row r="21" spans="1:9" ht="12.75" customHeight="1">
      <c r="A21" s="27"/>
      <c r="B21" s="27"/>
      <c r="C21" s="27"/>
      <c r="D21" s="27"/>
      <c r="E21" s="27"/>
      <c r="F21" s="27"/>
      <c r="G21" s="27"/>
    </row>
    <row r="22" spans="1:9" ht="12.75" customHeight="1">
      <c r="A22" s="27"/>
      <c r="B22" s="27"/>
      <c r="C22" s="27"/>
      <c r="D22" s="27"/>
      <c r="E22" s="27"/>
      <c r="F22" s="27"/>
      <c r="G22" s="27"/>
      <c r="I22" s="6"/>
    </row>
    <row r="23" spans="1:9" ht="12.75" customHeight="1">
      <c r="I23" s="7"/>
    </row>
    <row r="24" spans="1:9" ht="12.75" customHeight="1">
      <c r="A24" s="40" t="s">
        <v>284</v>
      </c>
      <c r="I24" s="7"/>
    </row>
    <row r="25" spans="1:9" ht="12.75" customHeight="1">
      <c r="A25" s="15" t="s">
        <v>158</v>
      </c>
      <c r="B25" s="1"/>
      <c r="C25" s="1"/>
      <c r="D25" s="1"/>
      <c r="E25" s="1"/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21" sqref="C21"/>
    </sheetView>
  </sheetViews>
  <sheetFormatPr baseColWidth="10" defaultRowHeight="15"/>
  <cols>
    <col min="7" max="7" width="17.855468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D5" s="1"/>
      <c r="E5" s="1"/>
      <c r="F5" s="1"/>
      <c r="G5" s="1">
        <v>2</v>
      </c>
      <c r="H5" s="1"/>
      <c r="I5" s="1"/>
      <c r="J5" s="1"/>
    </row>
    <row r="6" spans="1:10" ht="12.75" customHeight="1">
      <c r="A6" s="1" t="s">
        <v>3</v>
      </c>
      <c r="B6" s="18">
        <v>7342587</v>
      </c>
      <c r="C6" s="1" t="s">
        <v>7</v>
      </c>
      <c r="D6" s="1" t="s">
        <v>425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426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19">
        <v>44825</v>
      </c>
      <c r="C8" s="1"/>
      <c r="D8" s="1"/>
      <c r="E8" s="1"/>
      <c r="F8" s="1"/>
      <c r="G8" s="1"/>
    </row>
    <row r="9" spans="1:10" ht="12.75" customHeight="1">
      <c r="D9" s="3" t="s">
        <v>42</v>
      </c>
    </row>
    <row r="10" spans="1:10" ht="12.75" customHeight="1"/>
    <row r="11" spans="1:10" ht="12.75" customHeight="1">
      <c r="A11" s="2" t="s">
        <v>31</v>
      </c>
      <c r="C11" s="2" t="s">
        <v>8</v>
      </c>
      <c r="E11" s="2" t="s">
        <v>9</v>
      </c>
    </row>
    <row r="12" spans="1:10" ht="12.75" customHeight="1"/>
    <row r="13" spans="1:10" ht="12.75" customHeight="1">
      <c r="A13" s="8" t="s">
        <v>43</v>
      </c>
      <c r="B13" s="8" t="s">
        <v>44</v>
      </c>
      <c r="C13" s="12">
        <v>15</v>
      </c>
      <c r="D13" s="12" t="s">
        <v>48</v>
      </c>
      <c r="E13" s="8"/>
    </row>
    <row r="14" spans="1:10" ht="12.75" customHeight="1">
      <c r="A14" s="8"/>
      <c r="B14" s="8" t="s">
        <v>45</v>
      </c>
      <c r="C14" s="12">
        <v>13</v>
      </c>
      <c r="D14" s="12" t="s">
        <v>48</v>
      </c>
      <c r="E14" s="8"/>
    </row>
    <row r="15" spans="1:10" ht="12.75" customHeight="1">
      <c r="A15" s="8"/>
      <c r="B15" s="8" t="s">
        <v>46</v>
      </c>
      <c r="C15" s="11">
        <f>C13/C14</f>
        <v>1.1538461538461537</v>
      </c>
      <c r="D15" s="8"/>
      <c r="E15" s="12" t="s">
        <v>49</v>
      </c>
    </row>
    <row r="16" spans="1:10" ht="12.75" customHeight="1">
      <c r="A16" s="8"/>
      <c r="B16" s="23" t="s">
        <v>47</v>
      </c>
      <c r="C16" s="8"/>
      <c r="D16" s="8"/>
      <c r="E16" s="8"/>
    </row>
    <row r="17" spans="1:6" ht="12.75" customHeight="1">
      <c r="A17" s="8"/>
      <c r="B17" s="8"/>
      <c r="C17" s="8"/>
      <c r="D17" s="8"/>
      <c r="E17" s="8"/>
    </row>
    <row r="18" spans="1:6" ht="12.75" customHeight="1">
      <c r="A18" s="8"/>
      <c r="B18" s="8"/>
      <c r="C18" s="8"/>
      <c r="D18" s="8"/>
      <c r="E18" s="8"/>
    </row>
    <row r="19" spans="1:6" ht="12.75" customHeight="1">
      <c r="A19" s="8"/>
      <c r="B19" s="8"/>
      <c r="C19" s="8"/>
      <c r="D19" s="8"/>
      <c r="E19" s="8"/>
    </row>
    <row r="20" spans="1:6" ht="12.75" customHeight="1">
      <c r="A20" s="8" t="s">
        <v>50</v>
      </c>
      <c r="B20" s="8" t="s">
        <v>44</v>
      </c>
      <c r="C20" s="12">
        <v>32</v>
      </c>
      <c r="D20" s="12" t="s">
        <v>48</v>
      </c>
      <c r="E20" s="8"/>
    </row>
    <row r="21" spans="1:6" ht="12.75" customHeight="1">
      <c r="A21" s="8"/>
      <c r="B21" s="8" t="s">
        <v>45</v>
      </c>
      <c r="C21" s="12">
        <v>30</v>
      </c>
      <c r="D21" s="12" t="s">
        <v>48</v>
      </c>
      <c r="E21" s="8"/>
    </row>
    <row r="22" spans="1:6" ht="12.75" customHeight="1">
      <c r="A22" s="8"/>
      <c r="B22" s="8" t="s">
        <v>51</v>
      </c>
      <c r="C22" s="12">
        <f>C20-C21</f>
        <v>2</v>
      </c>
      <c r="D22" s="12" t="s">
        <v>48</v>
      </c>
      <c r="E22" s="16" t="s">
        <v>52</v>
      </c>
      <c r="F22" s="16" t="s">
        <v>48</v>
      </c>
    </row>
    <row r="23" spans="1:6" ht="12.75" customHeight="1"/>
    <row r="24" spans="1:6" ht="12.75" customHeight="1"/>
    <row r="25" spans="1:6" ht="12.75" customHeight="1">
      <c r="A25" s="15" t="s">
        <v>158</v>
      </c>
      <c r="B25" s="1"/>
      <c r="C25" s="1"/>
      <c r="D25" s="1"/>
      <c r="E25" s="1"/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selection activeCell="B24" sqref="B24"/>
    </sheetView>
  </sheetViews>
  <sheetFormatPr baseColWidth="10" defaultRowHeight="15"/>
  <cols>
    <col min="3" max="3" width="11.42578125" customWidth="1"/>
    <col min="4" max="4" width="13.7109375" customWidth="1"/>
    <col min="6" max="6" width="8.5703125" customWidth="1"/>
    <col min="7" max="7" width="11.5703125" bestFit="1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D5" s="1"/>
      <c r="E5" s="1"/>
      <c r="F5" s="1"/>
      <c r="G5" s="1">
        <v>3</v>
      </c>
      <c r="H5" s="1"/>
      <c r="I5" s="1"/>
      <c r="J5" s="1"/>
    </row>
    <row r="6" spans="1:10" ht="12.75" customHeight="1">
      <c r="A6" s="1" t="s">
        <v>3</v>
      </c>
      <c r="B6" s="26">
        <v>3695592</v>
      </c>
      <c r="C6" s="1" t="s">
        <v>7</v>
      </c>
      <c r="D6" s="1" t="s">
        <v>427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155</v>
      </c>
      <c r="C7" s="1" t="s">
        <v>6</v>
      </c>
      <c r="D7" s="1" t="s">
        <v>428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44825</v>
      </c>
      <c r="C8" s="1"/>
      <c r="D8" s="1"/>
      <c r="E8" s="1"/>
      <c r="F8" s="1"/>
      <c r="G8" s="1"/>
    </row>
    <row r="9" spans="1:10" ht="12.75" customHeight="1">
      <c r="D9" s="3" t="s">
        <v>53</v>
      </c>
    </row>
    <row r="10" spans="1:10" ht="12.75" customHeight="1">
      <c r="B10" s="2" t="s">
        <v>54</v>
      </c>
    </row>
    <row r="11" spans="1:10" ht="12.75" customHeight="1">
      <c r="A11" s="14" t="s">
        <v>55</v>
      </c>
      <c r="B11" s="8" t="s">
        <v>429</v>
      </c>
      <c r="C11" s="8"/>
      <c r="D11" s="14" t="s">
        <v>57</v>
      </c>
      <c r="E11" s="25">
        <v>1010</v>
      </c>
      <c r="F11" s="14" t="s">
        <v>59</v>
      </c>
      <c r="G11" s="8" t="s">
        <v>159</v>
      </c>
    </row>
    <row r="12" spans="1:10" ht="12.75" customHeight="1">
      <c r="A12" s="14" t="s">
        <v>56</v>
      </c>
      <c r="B12" s="8" t="s">
        <v>430</v>
      </c>
      <c r="C12" s="8"/>
      <c r="D12" s="14" t="s">
        <v>58</v>
      </c>
      <c r="E12" s="25">
        <v>6</v>
      </c>
      <c r="F12" s="8"/>
      <c r="G12" s="8"/>
    </row>
    <row r="13" spans="1:10" ht="12.75" customHeight="1"/>
    <row r="14" spans="1:10" ht="12.75" customHeight="1">
      <c r="B14" s="2" t="s">
        <v>60</v>
      </c>
    </row>
    <row r="15" spans="1:10" ht="12.75" customHeight="1">
      <c r="A15" s="14" t="s">
        <v>61</v>
      </c>
      <c r="B15" s="8" t="s">
        <v>431</v>
      </c>
      <c r="D15" s="14" t="s">
        <v>15</v>
      </c>
      <c r="E15" s="8" t="s">
        <v>149</v>
      </c>
      <c r="H15" s="8"/>
    </row>
    <row r="16" spans="1:10" ht="12.75" customHeight="1">
      <c r="A16" s="14" t="s">
        <v>62</v>
      </c>
      <c r="B16" s="8" t="s">
        <v>149</v>
      </c>
      <c r="D16" s="14" t="s">
        <v>64</v>
      </c>
      <c r="E16" s="8" t="s">
        <v>149</v>
      </c>
    </row>
    <row r="17" spans="1:7" ht="12.75" customHeight="1">
      <c r="A17" s="14" t="s">
        <v>63</v>
      </c>
      <c r="B17" s="8" t="s">
        <v>149</v>
      </c>
      <c r="D17" s="14" t="s">
        <v>65</v>
      </c>
      <c r="E17" s="8" t="s">
        <v>149</v>
      </c>
      <c r="F17" s="8"/>
      <c r="G17" s="8"/>
    </row>
    <row r="18" spans="1:7" ht="12.75" customHeight="1">
      <c r="A18" s="14" t="s">
        <v>66</v>
      </c>
      <c r="B18" s="8" t="s">
        <v>149</v>
      </c>
      <c r="D18" s="14" t="s">
        <v>18</v>
      </c>
      <c r="E18" s="8" t="s">
        <v>237</v>
      </c>
    </row>
    <row r="19" spans="1:7" ht="12.75" customHeight="1">
      <c r="B19" s="2" t="s">
        <v>67</v>
      </c>
    </row>
    <row r="20" spans="1:7" ht="12.75" customHeight="1">
      <c r="A20" s="14" t="s">
        <v>70</v>
      </c>
      <c r="B20" s="8"/>
      <c r="C20" s="8" t="s">
        <v>363</v>
      </c>
      <c r="D20" s="8"/>
      <c r="E20" s="14" t="s">
        <v>18</v>
      </c>
      <c r="F20" s="8" t="s">
        <v>432</v>
      </c>
    </row>
    <row r="21" spans="1:7" ht="12.75" customHeight="1">
      <c r="A21" s="14" t="s">
        <v>69</v>
      </c>
      <c r="B21" s="8"/>
      <c r="C21" s="8" t="s">
        <v>434</v>
      </c>
      <c r="D21" s="8"/>
      <c r="E21" s="14" t="s">
        <v>72</v>
      </c>
      <c r="F21" s="8" t="s">
        <v>433</v>
      </c>
    </row>
    <row r="22" spans="1:7" ht="12.75" customHeight="1">
      <c r="A22" s="14" t="s">
        <v>68</v>
      </c>
      <c r="B22" s="8"/>
      <c r="C22" s="8" t="s">
        <v>238</v>
      </c>
      <c r="D22" s="8"/>
      <c r="E22" s="8"/>
    </row>
    <row r="23" spans="1:7" ht="12.75" customHeight="1">
      <c r="A23" s="14" t="s">
        <v>71</v>
      </c>
      <c r="B23" s="8"/>
      <c r="C23" s="8"/>
      <c r="D23" s="8"/>
      <c r="E23" s="8"/>
    </row>
    <row r="25" spans="1:7">
      <c r="A25" s="15" t="s">
        <v>158</v>
      </c>
      <c r="B25" s="1"/>
      <c r="C25" s="1"/>
      <c r="D25" s="1"/>
      <c r="E25" s="1"/>
    </row>
    <row r="26" spans="1:7">
      <c r="E26" s="1"/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19" sqref="C19"/>
    </sheetView>
  </sheetViews>
  <sheetFormatPr baseColWidth="10" defaultRowHeight="15"/>
  <cols>
    <col min="7" max="7" width="17.425781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D5" s="1"/>
      <c r="E5" s="1"/>
      <c r="F5" s="1"/>
      <c r="G5" s="1">
        <v>4</v>
      </c>
      <c r="H5" s="1"/>
      <c r="I5" s="1"/>
      <c r="J5" s="1"/>
    </row>
    <row r="6" spans="1:10" ht="12.75" customHeight="1">
      <c r="A6" s="1" t="s">
        <v>3</v>
      </c>
      <c r="B6" s="26"/>
      <c r="C6" s="1" t="s">
        <v>7</v>
      </c>
      <c r="D6" s="1" t="s">
        <v>435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436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44825</v>
      </c>
      <c r="C8" s="1"/>
      <c r="D8" s="1"/>
      <c r="E8" s="1"/>
      <c r="F8" s="1"/>
      <c r="G8" s="1"/>
    </row>
    <row r="9" spans="1:10">
      <c r="D9" s="3" t="s">
        <v>73</v>
      </c>
    </row>
    <row r="10" spans="1:10" ht="12.75" customHeight="1">
      <c r="B10" s="2" t="s">
        <v>54</v>
      </c>
    </row>
    <row r="11" spans="1:10" ht="12.75" customHeight="1">
      <c r="A11" s="14" t="s">
        <v>56</v>
      </c>
      <c r="B11" s="8" t="s">
        <v>160</v>
      </c>
      <c r="C11" s="8"/>
      <c r="D11" s="14" t="s">
        <v>74</v>
      </c>
      <c r="F11" s="8" t="s">
        <v>437</v>
      </c>
    </row>
    <row r="12" spans="1:10" ht="12.75" customHeight="1">
      <c r="A12" s="14" t="s">
        <v>55</v>
      </c>
      <c r="B12" s="8" t="s">
        <v>161</v>
      </c>
      <c r="C12" s="8"/>
      <c r="D12" s="14" t="s">
        <v>75</v>
      </c>
      <c r="F12" s="8" t="s">
        <v>162</v>
      </c>
    </row>
    <row r="13" spans="1:10" ht="12.75" customHeight="1">
      <c r="A13" s="14" t="s">
        <v>76</v>
      </c>
      <c r="B13" s="8" t="s">
        <v>162</v>
      </c>
      <c r="C13" s="8"/>
      <c r="D13" s="14" t="s">
        <v>77</v>
      </c>
      <c r="F13" s="8" t="s">
        <v>162</v>
      </c>
    </row>
    <row r="14" spans="1:10" ht="12.75" customHeight="1">
      <c r="A14" s="8"/>
      <c r="B14" s="8"/>
      <c r="C14" s="8"/>
      <c r="D14" s="8"/>
    </row>
    <row r="15" spans="1:10" ht="12.75" customHeight="1">
      <c r="B15" s="2" t="s">
        <v>67</v>
      </c>
    </row>
    <row r="16" spans="1:10" ht="12.75" customHeight="1">
      <c r="A16" s="14" t="s">
        <v>78</v>
      </c>
      <c r="B16" s="8"/>
      <c r="C16" s="8" t="s">
        <v>150</v>
      </c>
      <c r="D16" s="8"/>
      <c r="E16" s="8"/>
      <c r="F16" s="8"/>
    </row>
    <row r="17" spans="1:6" ht="12.75" customHeight="1">
      <c r="A17" s="14" t="s">
        <v>79</v>
      </c>
      <c r="B17" s="8"/>
      <c r="C17" s="8" t="s">
        <v>150</v>
      </c>
      <c r="D17" s="8"/>
      <c r="E17" s="8"/>
      <c r="F17" s="8"/>
    </row>
    <row r="18" spans="1:6" ht="12.75" customHeight="1">
      <c r="A18" s="14" t="s">
        <v>80</v>
      </c>
      <c r="B18" s="8"/>
      <c r="C18" s="8" t="s">
        <v>358</v>
      </c>
      <c r="D18" s="8"/>
      <c r="E18" s="8"/>
      <c r="F18" s="8"/>
    </row>
    <row r="19" spans="1:6" ht="12.75" customHeight="1">
      <c r="A19" s="14" t="s">
        <v>338</v>
      </c>
      <c r="B19" s="8"/>
      <c r="C19" s="8" t="s">
        <v>150</v>
      </c>
      <c r="D19" s="8"/>
      <c r="E19" s="8"/>
      <c r="F19" s="8"/>
    </row>
    <row r="20" spans="1:6" ht="12.75" customHeight="1">
      <c r="A20" s="14" t="s">
        <v>81</v>
      </c>
      <c r="B20" s="8"/>
      <c r="C20" s="8" t="s">
        <v>150</v>
      </c>
      <c r="D20" s="8"/>
      <c r="E20" s="8"/>
      <c r="F20" s="8"/>
    </row>
    <row r="21" spans="1:6" ht="12.75" customHeight="1">
      <c r="A21" s="14" t="s">
        <v>82</v>
      </c>
      <c r="B21" s="8"/>
    </row>
    <row r="25" spans="1:6">
      <c r="A25" s="15" t="s">
        <v>158</v>
      </c>
      <c r="B25" s="15"/>
      <c r="C25" s="15"/>
      <c r="D25" s="15"/>
      <c r="E25" s="15"/>
    </row>
  </sheetData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B10" sqref="B10"/>
    </sheetView>
  </sheetViews>
  <sheetFormatPr baseColWidth="10" defaultRowHeight="15"/>
  <cols>
    <col min="7" max="7" width="17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2</v>
      </c>
      <c r="H5" s="1"/>
      <c r="I5" s="1"/>
      <c r="J5" s="1"/>
    </row>
    <row r="6" spans="1:10" ht="12.75" customHeight="1">
      <c r="A6" s="1" t="s">
        <v>3</v>
      </c>
      <c r="B6" s="18">
        <v>7342587</v>
      </c>
      <c r="C6" s="1" t="s">
        <v>7</v>
      </c>
      <c r="D6" s="1" t="s">
        <v>425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426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19">
        <v>44825</v>
      </c>
      <c r="C8" s="1"/>
      <c r="D8" s="1"/>
      <c r="E8" s="1"/>
      <c r="F8" s="1"/>
      <c r="G8" s="1"/>
    </row>
    <row r="9" spans="1:10">
      <c r="D9" s="3" t="s">
        <v>83</v>
      </c>
    </row>
    <row r="10" spans="1:10" ht="12.75" customHeight="1"/>
    <row r="11" spans="1:10" ht="12.75" customHeight="1">
      <c r="A11" s="2" t="s">
        <v>31</v>
      </c>
      <c r="D11" s="2" t="s">
        <v>84</v>
      </c>
    </row>
    <row r="12" spans="1:10" ht="12.75" customHeight="1"/>
    <row r="13" spans="1:10" ht="12.75" customHeight="1">
      <c r="A13" s="8" t="s">
        <v>85</v>
      </c>
      <c r="B13" s="8"/>
      <c r="D13" s="12" t="s">
        <v>151</v>
      </c>
    </row>
    <row r="14" spans="1:10" ht="12.75" customHeight="1">
      <c r="A14" s="29" t="s">
        <v>86</v>
      </c>
      <c r="B14" s="29"/>
      <c r="C14" s="39"/>
      <c r="D14" s="30" t="s">
        <v>151</v>
      </c>
    </row>
    <row r="15" spans="1:10" ht="12.75" customHeight="1">
      <c r="A15" s="23"/>
      <c r="B15" s="23"/>
      <c r="C15" s="27"/>
      <c r="D15" s="23"/>
    </row>
    <row r="16" spans="1:10" ht="12.75" customHeight="1">
      <c r="A16" s="23" t="s">
        <v>87</v>
      </c>
      <c r="B16" s="23"/>
      <c r="C16" s="27"/>
      <c r="D16" s="24" t="s">
        <v>149</v>
      </c>
    </row>
    <row r="17" spans="1:5" ht="12.75" customHeight="1">
      <c r="A17" s="29" t="s">
        <v>88</v>
      </c>
      <c r="B17" s="29" t="s">
        <v>89</v>
      </c>
      <c r="C17" s="39"/>
      <c r="D17" s="30" t="s">
        <v>149</v>
      </c>
      <c r="E17" s="27"/>
    </row>
    <row r="18" spans="1:5" ht="12.75" customHeight="1">
      <c r="A18" s="29"/>
      <c r="B18" s="29" t="s">
        <v>90</v>
      </c>
      <c r="C18" s="39"/>
      <c r="D18" s="30" t="s">
        <v>149</v>
      </c>
      <c r="E18" s="27"/>
    </row>
    <row r="19" spans="1:5" ht="12.75" customHeight="1">
      <c r="A19" s="29" t="s">
        <v>91</v>
      </c>
      <c r="B19" s="29"/>
      <c r="C19" s="39"/>
      <c r="D19" s="30" t="s">
        <v>149</v>
      </c>
      <c r="E19" s="27"/>
    </row>
    <row r="23" spans="1:5">
      <c r="A23" s="23" t="s">
        <v>339</v>
      </c>
    </row>
    <row r="24" spans="1:5">
      <c r="A24" s="23" t="s">
        <v>340</v>
      </c>
    </row>
    <row r="25" spans="1:5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A20" sqref="A20"/>
    </sheetView>
  </sheetViews>
  <sheetFormatPr baseColWidth="10" defaultRowHeight="15"/>
  <cols>
    <col min="7" max="7" width="15.28515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D5" s="1"/>
      <c r="E5" s="1"/>
      <c r="F5" s="1"/>
      <c r="G5" s="5">
        <v>17</v>
      </c>
      <c r="H5" s="1"/>
      <c r="I5" s="1"/>
      <c r="J5" s="1"/>
    </row>
    <row r="6" spans="1:10" ht="12.75" customHeight="1">
      <c r="A6" s="1" t="s">
        <v>3</v>
      </c>
      <c r="B6" s="18">
        <v>27341799</v>
      </c>
      <c r="C6" s="1" t="s">
        <v>7</v>
      </c>
      <c r="D6" s="1" t="s">
        <v>459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460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19">
        <v>45019</v>
      </c>
      <c r="C8" s="1"/>
      <c r="D8" s="1"/>
      <c r="E8" s="1"/>
      <c r="F8" s="1"/>
      <c r="G8" s="1"/>
    </row>
    <row r="9" spans="1:10" ht="12.75" customHeight="1">
      <c r="D9" s="3" t="s">
        <v>83</v>
      </c>
    </row>
    <row r="10" spans="1:10" ht="12.75" customHeight="1">
      <c r="A10" s="1"/>
    </row>
    <row r="11" spans="1:10" ht="12.75" customHeight="1">
      <c r="A11" s="2" t="s">
        <v>31</v>
      </c>
      <c r="D11" s="2" t="s">
        <v>8</v>
      </c>
    </row>
    <row r="13" spans="1:10" ht="12.75" customHeight="1">
      <c r="A13" s="17" t="s">
        <v>92</v>
      </c>
      <c r="D13" s="5" t="s">
        <v>149</v>
      </c>
    </row>
    <row r="14" spans="1:10" ht="12.75" customHeight="1"/>
    <row r="15" spans="1:10" ht="12.75" customHeight="1"/>
    <row r="16" spans="1:10" ht="12.75" customHeight="1"/>
    <row r="17" spans="1:5" ht="12.75" customHeight="1"/>
    <row r="18" spans="1:5" ht="12.75" customHeight="1"/>
    <row r="19" spans="1:5" ht="12.75" customHeight="1"/>
    <row r="20" spans="1:5" ht="12.75" customHeight="1"/>
    <row r="21" spans="1:5" ht="12.75" customHeight="1">
      <c r="A21" s="1" t="s">
        <v>461</v>
      </c>
    </row>
    <row r="22" spans="1:5" ht="12.75" customHeight="1"/>
    <row r="23" spans="1:5" ht="12.75" customHeight="1"/>
    <row r="24" spans="1:5" ht="12.75" customHeight="1"/>
    <row r="25" spans="1:5" ht="12.75" customHeight="1">
      <c r="A25" s="15" t="s">
        <v>158</v>
      </c>
      <c r="B25" s="1"/>
      <c r="C25" s="1"/>
      <c r="D25" s="1"/>
      <c r="E25" s="1"/>
    </row>
  </sheetData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E9" sqref="E9"/>
    </sheetView>
  </sheetViews>
  <sheetFormatPr baseColWidth="10" defaultRowHeight="15"/>
  <cols>
    <col min="7" max="7" width="15.7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1</v>
      </c>
      <c r="H5" s="1"/>
      <c r="I5" s="1"/>
      <c r="J5" s="1"/>
    </row>
    <row r="6" spans="1:10" ht="12.75" customHeight="1">
      <c r="A6" s="1" t="s">
        <v>3</v>
      </c>
      <c r="B6" s="26">
        <v>25811644</v>
      </c>
      <c r="C6" s="1" t="s">
        <v>7</v>
      </c>
      <c r="D6" s="1" t="s">
        <v>235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234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44655</v>
      </c>
      <c r="C8" s="1"/>
      <c r="D8" s="1"/>
      <c r="E8" s="1"/>
      <c r="F8" s="1"/>
      <c r="G8" s="1"/>
    </row>
    <row r="9" spans="1:10" ht="12.75" customHeight="1">
      <c r="D9" s="3" t="s">
        <v>93</v>
      </c>
    </row>
    <row r="10" spans="1:10" ht="12.75" customHeight="1"/>
    <row r="11" spans="1:10" ht="12.75" customHeight="1">
      <c r="A11" s="2" t="s">
        <v>31</v>
      </c>
      <c r="D11" s="2" t="s">
        <v>8</v>
      </c>
    </row>
    <row r="12" spans="1:10" ht="12.75" customHeight="1"/>
    <row r="13" spans="1:10" ht="12.75" customHeight="1">
      <c r="A13" s="1" t="s">
        <v>93</v>
      </c>
      <c r="D13" s="5" t="s">
        <v>236</v>
      </c>
    </row>
    <row r="14" spans="1:10" ht="12.75" customHeight="1">
      <c r="A14" s="1" t="s">
        <v>94</v>
      </c>
      <c r="D14" s="5" t="s">
        <v>237</v>
      </c>
    </row>
    <row r="15" spans="1:10" ht="12.75" customHeight="1"/>
    <row r="16" spans="1:10" ht="12.75" customHeight="1"/>
    <row r="17" spans="1:5" ht="12.75" customHeight="1"/>
    <row r="18" spans="1:5" ht="12.75" customHeight="1"/>
    <row r="19" spans="1:5" ht="12.75" customHeight="1"/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>
      <c r="A25" s="15" t="s">
        <v>156</v>
      </c>
      <c r="B25" s="1"/>
      <c r="C25" s="1"/>
      <c r="D25" s="1"/>
      <c r="E25" s="1"/>
    </row>
  </sheetData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A25" sqref="A25"/>
    </sheetView>
  </sheetViews>
  <sheetFormatPr baseColWidth="10" defaultRowHeight="15"/>
  <cols>
    <col min="7" max="7" width="18.1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0" ht="12.75" customHeight="1">
      <c r="A6" s="1" t="s">
        <v>3</v>
      </c>
      <c r="B6" s="1"/>
      <c r="C6" s="1" t="s">
        <v>7</v>
      </c>
      <c r="D6" s="1"/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1"/>
      <c r="C7" s="1" t="s">
        <v>6</v>
      </c>
      <c r="D7" s="1"/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1"/>
      <c r="C8" s="1"/>
      <c r="D8" s="1"/>
      <c r="E8" s="1"/>
      <c r="F8" s="1"/>
      <c r="G8" s="1"/>
    </row>
    <row r="9" spans="1:10">
      <c r="D9" s="3" t="s">
        <v>95</v>
      </c>
    </row>
    <row r="11" spans="1:10" ht="12.75" customHeight="1">
      <c r="A11" s="2" t="s">
        <v>31</v>
      </c>
      <c r="D11" s="2" t="s">
        <v>8</v>
      </c>
    </row>
    <row r="13" spans="1:10" ht="12.75" customHeight="1">
      <c r="A13" s="1" t="s">
        <v>96</v>
      </c>
      <c r="B13" s="1" t="s">
        <v>97</v>
      </c>
    </row>
    <row r="14" spans="1:10" ht="12.75" customHeight="1">
      <c r="B14" s="1" t="s">
        <v>98</v>
      </c>
    </row>
    <row r="15" spans="1:10" ht="12.75" customHeight="1"/>
    <row r="16" spans="1:10" ht="12.75" customHeight="1"/>
    <row r="17" spans="1:5" ht="12.75" customHeight="1"/>
    <row r="18" spans="1:5" ht="12.75" customHeight="1"/>
    <row r="19" spans="1:5" ht="12.75" customHeight="1"/>
    <row r="20" spans="1:5" ht="12.75" customHeight="1"/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>
      <c r="A25" s="15" t="s">
        <v>156</v>
      </c>
      <c r="B25" s="1"/>
      <c r="C25" s="1"/>
      <c r="D25" s="1"/>
      <c r="E25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D14" sqref="D14"/>
    </sheetView>
  </sheetViews>
  <sheetFormatPr baseColWidth="10" defaultRowHeight="15"/>
  <cols>
    <col min="4" max="4" width="12.5703125" bestFit="1" customWidth="1"/>
    <col min="7" max="7" width="15.7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 ht="12.75" customHeight="1">
      <c r="A5" s="9" t="s">
        <v>2</v>
      </c>
      <c r="B5" s="1"/>
      <c r="C5" s="1"/>
      <c r="D5" s="1"/>
      <c r="E5" s="1"/>
      <c r="F5" s="1"/>
      <c r="G5" s="1">
        <v>5</v>
      </c>
      <c r="H5" s="1"/>
      <c r="I5" s="1"/>
      <c r="J5" s="1"/>
    </row>
    <row r="6" spans="1:10">
      <c r="A6" s="1" t="s">
        <v>3</v>
      </c>
      <c r="B6" s="18">
        <v>18174805</v>
      </c>
      <c r="C6" s="1" t="s">
        <v>7</v>
      </c>
      <c r="D6" s="1" t="s">
        <v>438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257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44825</v>
      </c>
      <c r="C8" s="1"/>
      <c r="D8" s="1"/>
      <c r="E8" s="1"/>
      <c r="F8" s="1"/>
      <c r="G8" s="1"/>
    </row>
    <row r="9" spans="1:10" ht="12.75" customHeight="1">
      <c r="D9" s="3" t="s">
        <v>30</v>
      </c>
    </row>
    <row r="10" spans="1:10" ht="12.75" customHeight="1"/>
    <row r="11" spans="1:10" ht="12.75" customHeight="1">
      <c r="A11" s="2" t="s">
        <v>31</v>
      </c>
      <c r="C11" s="1"/>
      <c r="D11" s="2" t="s">
        <v>8</v>
      </c>
      <c r="F11" s="2" t="s">
        <v>9</v>
      </c>
    </row>
    <row r="12" spans="1:10" ht="12.75" customHeight="1">
      <c r="A12" s="8" t="s">
        <v>247</v>
      </c>
      <c r="B12" s="8"/>
      <c r="C12" s="8"/>
      <c r="D12" s="13">
        <v>189</v>
      </c>
      <c r="E12" s="8"/>
      <c r="F12" s="12" t="s">
        <v>40</v>
      </c>
      <c r="G12" s="12" t="s">
        <v>37</v>
      </c>
    </row>
    <row r="13" spans="1:10" ht="12.75" customHeight="1">
      <c r="A13" s="8" t="s">
        <v>35</v>
      </c>
      <c r="B13" s="8"/>
      <c r="C13" s="8"/>
      <c r="D13" s="12">
        <v>85.9</v>
      </c>
      <c r="E13" s="8"/>
      <c r="F13" s="12" t="s">
        <v>41</v>
      </c>
      <c r="G13" s="12" t="s">
        <v>37</v>
      </c>
    </row>
    <row r="14" spans="1:10" ht="12.75" customHeight="1">
      <c r="A14" s="8" t="s">
        <v>200</v>
      </c>
      <c r="B14" s="8"/>
      <c r="C14" s="8"/>
      <c r="D14" s="12">
        <v>49.5</v>
      </c>
      <c r="E14" s="8"/>
      <c r="F14" s="12" t="s">
        <v>99</v>
      </c>
      <c r="G14" s="12" t="s">
        <v>37</v>
      </c>
    </row>
    <row r="15" spans="1:10" ht="12.75" customHeight="1">
      <c r="A15" s="8" t="s">
        <v>201</v>
      </c>
      <c r="B15" s="8"/>
      <c r="C15" s="8"/>
      <c r="D15" s="13">
        <f>D12-D14-D16</f>
        <v>122.32</v>
      </c>
      <c r="E15" s="8"/>
      <c r="F15" s="12" t="s">
        <v>100</v>
      </c>
      <c r="G15" s="12" t="s">
        <v>37</v>
      </c>
    </row>
    <row r="16" spans="1:10" ht="12.75" customHeight="1">
      <c r="A16" s="8" t="s">
        <v>202</v>
      </c>
      <c r="B16" s="8"/>
      <c r="C16" s="8"/>
      <c r="D16" s="13">
        <f>D13/5</f>
        <v>17.18</v>
      </c>
      <c r="E16" s="8"/>
      <c r="F16" s="12" t="s">
        <v>203</v>
      </c>
      <c r="G16" s="12" t="s">
        <v>37</v>
      </c>
      <c r="H16" s="8"/>
    </row>
    <row r="17" spans="1:8" ht="12.75" customHeight="1">
      <c r="A17" s="8" t="s">
        <v>101</v>
      </c>
      <c r="B17" s="8"/>
      <c r="C17" s="8"/>
      <c r="D17" s="13">
        <f>D12/D14</f>
        <v>3.8181818181818183</v>
      </c>
      <c r="E17" s="8"/>
      <c r="F17" s="8"/>
      <c r="G17" s="8"/>
      <c r="H17" s="8"/>
    </row>
    <row r="18" spans="1:8" ht="12.75" customHeight="1">
      <c r="A18" s="8" t="s">
        <v>102</v>
      </c>
      <c r="B18" s="8"/>
      <c r="C18" s="8"/>
      <c r="D18" s="13">
        <f>D15/D14</f>
        <v>2.471111111111111</v>
      </c>
      <c r="E18" s="8"/>
      <c r="F18" s="8"/>
      <c r="G18" s="8"/>
      <c r="H18" s="8"/>
    </row>
    <row r="19" spans="1:8" ht="12.75" customHeight="1"/>
    <row r="20" spans="1:8" ht="12.75" customHeight="1">
      <c r="A20" s="23" t="s">
        <v>32</v>
      </c>
      <c r="B20" s="23"/>
      <c r="C20" s="24"/>
      <c r="D20" s="24" t="s">
        <v>332</v>
      </c>
      <c r="E20" s="23"/>
      <c r="F20" s="24" t="s">
        <v>36</v>
      </c>
      <c r="G20" s="24" t="s">
        <v>37</v>
      </c>
    </row>
    <row r="21" spans="1:8" ht="12.75" customHeight="1">
      <c r="A21" s="23" t="s">
        <v>33</v>
      </c>
      <c r="B21" s="23"/>
      <c r="C21" s="27"/>
      <c r="D21" s="24" t="s">
        <v>361</v>
      </c>
      <c r="E21" s="23"/>
      <c r="F21" s="24" t="s">
        <v>341</v>
      </c>
      <c r="G21" s="24" t="s">
        <v>37</v>
      </c>
    </row>
    <row r="22" spans="1:8" ht="12.75" customHeight="1">
      <c r="A22" s="23" t="s">
        <v>34</v>
      </c>
      <c r="B22" s="23"/>
      <c r="C22" s="27"/>
      <c r="D22" s="24" t="s">
        <v>362</v>
      </c>
      <c r="E22" s="23"/>
      <c r="F22" s="24" t="s">
        <v>39</v>
      </c>
      <c r="G22" s="24" t="s">
        <v>37</v>
      </c>
    </row>
    <row r="23" spans="1:8" ht="12.75" customHeight="1"/>
    <row r="24" spans="1:8" ht="12.75" customHeight="1">
      <c r="A24" s="27" t="s">
        <v>232</v>
      </c>
    </row>
    <row r="25" spans="1:8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>
      <selection activeCell="G19" sqref="G19"/>
    </sheetView>
  </sheetViews>
  <sheetFormatPr baseColWidth="10" defaultRowHeight="15"/>
  <cols>
    <col min="5" max="5" width="11.7109375" customWidth="1"/>
    <col min="6" max="6" width="12.85546875" customWidth="1"/>
    <col min="7" max="7" width="17.855468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7</v>
      </c>
      <c r="H5" s="1"/>
      <c r="I5" s="1"/>
      <c r="J5" s="1"/>
    </row>
    <row r="6" spans="1:10" ht="12.75" customHeight="1">
      <c r="A6" s="1" t="s">
        <v>3</v>
      </c>
      <c r="B6" s="18">
        <v>5394881</v>
      </c>
      <c r="C6" s="1" t="s">
        <v>7</v>
      </c>
      <c r="D6" s="1" t="s">
        <v>174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175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19">
        <v>44648</v>
      </c>
      <c r="C8" s="1"/>
      <c r="D8" s="1"/>
      <c r="E8" s="1"/>
      <c r="F8" s="1"/>
      <c r="G8" s="1"/>
    </row>
    <row r="9" spans="1:10" ht="12.75" customHeight="1">
      <c r="D9" s="3" t="s">
        <v>103</v>
      </c>
    </row>
    <row r="10" spans="1:10" ht="12.75" customHeight="1"/>
    <row r="11" spans="1:10" ht="12.75" customHeight="1">
      <c r="A11" s="2" t="s">
        <v>31</v>
      </c>
      <c r="D11" s="2" t="s">
        <v>8</v>
      </c>
      <c r="F11" s="2" t="s">
        <v>9</v>
      </c>
    </row>
    <row r="12" spans="1:10" ht="12.75" customHeight="1">
      <c r="A12" s="8" t="s">
        <v>104</v>
      </c>
      <c r="B12" s="8"/>
      <c r="C12" s="8"/>
      <c r="D12" s="12" t="s">
        <v>227</v>
      </c>
      <c r="E12" s="8"/>
      <c r="F12" s="12" t="s">
        <v>113</v>
      </c>
      <c r="G12" s="12" t="s">
        <v>37</v>
      </c>
    </row>
    <row r="13" spans="1:10" ht="13.5" customHeight="1">
      <c r="A13" s="8" t="s">
        <v>105</v>
      </c>
      <c r="B13" s="8"/>
      <c r="C13" s="8"/>
      <c r="D13" s="12" t="s">
        <v>228</v>
      </c>
      <c r="E13" s="8"/>
      <c r="F13" s="12" t="s">
        <v>114</v>
      </c>
      <c r="G13" s="12" t="s">
        <v>37</v>
      </c>
    </row>
    <row r="14" spans="1:10" ht="12.75" customHeight="1">
      <c r="A14" s="8" t="s">
        <v>106</v>
      </c>
      <c r="B14" s="8"/>
      <c r="C14" s="8"/>
      <c r="D14" s="12" t="s">
        <v>229</v>
      </c>
      <c r="E14" s="8"/>
      <c r="F14" s="12" t="s">
        <v>115</v>
      </c>
      <c r="G14" s="12" t="s">
        <v>37</v>
      </c>
    </row>
    <row r="15" spans="1:10" ht="12.75" customHeight="1">
      <c r="A15" s="8" t="s">
        <v>107</v>
      </c>
      <c r="B15" s="8"/>
      <c r="C15" s="8"/>
      <c r="D15" s="12" t="s">
        <v>230</v>
      </c>
      <c r="E15" s="8"/>
      <c r="F15" s="12" t="s">
        <v>116</v>
      </c>
      <c r="G15" s="12" t="s">
        <v>117</v>
      </c>
    </row>
    <row r="16" spans="1:10" ht="12.75" customHeight="1">
      <c r="A16" s="8" t="s">
        <v>108</v>
      </c>
      <c r="B16" s="8"/>
      <c r="C16" s="8"/>
      <c r="D16" s="12" t="s">
        <v>231</v>
      </c>
      <c r="E16" s="8"/>
      <c r="F16" s="12" t="s">
        <v>116</v>
      </c>
      <c r="G16" s="12" t="s">
        <v>117</v>
      </c>
    </row>
    <row r="17" spans="1:7" ht="12.75" customHeight="1">
      <c r="A17" s="23" t="s">
        <v>109</v>
      </c>
      <c r="B17" s="23"/>
      <c r="C17" s="23"/>
      <c r="D17" s="23"/>
      <c r="E17" s="23"/>
      <c r="F17" s="24" t="s">
        <v>118</v>
      </c>
      <c r="G17" s="24" t="s">
        <v>119</v>
      </c>
    </row>
    <row r="18" spans="1:7" ht="12.75" customHeight="1">
      <c r="A18" s="29" t="s">
        <v>111</v>
      </c>
      <c r="B18" s="29"/>
      <c r="C18" s="29"/>
      <c r="D18" s="29"/>
      <c r="E18" s="29"/>
      <c r="F18" s="30" t="s">
        <v>474</v>
      </c>
      <c r="G18" s="30" t="s">
        <v>123</v>
      </c>
    </row>
    <row r="19" spans="1:7" ht="12.75" customHeight="1">
      <c r="A19" s="23" t="s">
        <v>110</v>
      </c>
      <c r="B19" s="23"/>
      <c r="C19" s="23"/>
      <c r="D19" s="23"/>
      <c r="E19" s="23"/>
      <c r="F19" s="24" t="s">
        <v>125</v>
      </c>
      <c r="G19" s="24" t="s">
        <v>123</v>
      </c>
    </row>
    <row r="20" spans="1:7" ht="12" customHeight="1">
      <c r="A20" s="23" t="s">
        <v>112</v>
      </c>
      <c r="B20" s="23"/>
      <c r="C20" s="23"/>
      <c r="D20" s="23"/>
      <c r="E20" s="23" t="s">
        <v>120</v>
      </c>
      <c r="F20" s="24" t="s">
        <v>124</v>
      </c>
      <c r="G20" s="24" t="s">
        <v>123</v>
      </c>
    </row>
    <row r="21" spans="1:7" ht="12.75" customHeight="1">
      <c r="A21" s="23"/>
      <c r="B21" s="23"/>
      <c r="C21" s="23"/>
      <c r="D21" s="23"/>
      <c r="E21" s="23" t="s">
        <v>121</v>
      </c>
      <c r="F21" s="24" t="s">
        <v>122</v>
      </c>
      <c r="G21" s="24" t="s">
        <v>123</v>
      </c>
    </row>
    <row r="22" spans="1:7" ht="12.75" customHeight="1">
      <c r="A22" s="29" t="s">
        <v>466</v>
      </c>
      <c r="B22" s="39"/>
      <c r="C22" s="39"/>
      <c r="D22" s="39"/>
      <c r="E22" s="39"/>
      <c r="F22" s="30" t="s">
        <v>467</v>
      </c>
      <c r="G22" s="30" t="s">
        <v>117</v>
      </c>
    </row>
    <row r="23" spans="1:7" ht="12.75" customHeight="1"/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G5" sqref="G5"/>
    </sheetView>
  </sheetViews>
  <sheetFormatPr baseColWidth="10" defaultRowHeight="15"/>
  <cols>
    <col min="6" max="6" width="13.42578125" customWidth="1"/>
    <col min="7" max="7" width="18" customWidth="1"/>
  </cols>
  <sheetData>
    <row r="1" spans="1:10">
      <c r="A1" s="1"/>
      <c r="B1" s="1"/>
      <c r="C1" s="1"/>
      <c r="D1" s="1"/>
      <c r="E1" s="1"/>
      <c r="F1" s="1"/>
      <c r="G1" s="1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3</v>
      </c>
      <c r="I5" s="1"/>
      <c r="J5" s="1"/>
    </row>
    <row r="6" spans="1:10" ht="12.75" customHeight="1">
      <c r="A6" s="1" t="s">
        <v>3</v>
      </c>
      <c r="B6" s="26">
        <v>4717701</v>
      </c>
      <c r="C6" s="1" t="s">
        <v>7</v>
      </c>
      <c r="D6" s="1" t="s">
        <v>250</v>
      </c>
      <c r="E6" s="1"/>
      <c r="F6" s="1"/>
      <c r="G6" s="1"/>
      <c r="I6" s="1"/>
      <c r="J6" s="1"/>
    </row>
    <row r="7" spans="1:10" ht="12.75" customHeight="1">
      <c r="A7" s="1" t="s">
        <v>4</v>
      </c>
      <c r="B7" s="5" t="s">
        <v>155</v>
      </c>
      <c r="C7" s="1" t="s">
        <v>6</v>
      </c>
      <c r="D7" s="1" t="s">
        <v>251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44657</v>
      </c>
      <c r="C8" s="1"/>
      <c r="D8" s="1"/>
      <c r="E8" s="1"/>
      <c r="F8" s="1"/>
      <c r="G8" s="1"/>
    </row>
    <row r="9" spans="1:10" ht="12.75" customHeight="1">
      <c r="D9" s="3" t="s">
        <v>30</v>
      </c>
    </row>
    <row r="10" spans="1:10" ht="12.75" customHeight="1"/>
    <row r="11" spans="1:10" ht="12.75" customHeight="1">
      <c r="A11" s="2" t="s">
        <v>31</v>
      </c>
      <c r="D11" s="2" t="s">
        <v>8</v>
      </c>
      <c r="F11" s="2" t="s">
        <v>126</v>
      </c>
    </row>
    <row r="12" spans="1:10" ht="12.75" customHeight="1">
      <c r="A12" s="8" t="s">
        <v>127</v>
      </c>
      <c r="B12" s="8"/>
      <c r="C12" s="8"/>
      <c r="D12" s="12" t="s">
        <v>252</v>
      </c>
      <c r="E12" s="8"/>
      <c r="F12" s="12" t="s">
        <v>128</v>
      </c>
      <c r="G12" s="12" t="s">
        <v>17</v>
      </c>
    </row>
    <row r="13" spans="1:10" ht="12.75" customHeight="1">
      <c r="A13" s="8" t="s">
        <v>129</v>
      </c>
      <c r="B13" s="8"/>
      <c r="C13" s="8"/>
      <c r="D13" s="12" t="s">
        <v>217</v>
      </c>
      <c r="E13" s="8"/>
      <c r="F13" s="12" t="s">
        <v>130</v>
      </c>
      <c r="G13" s="12" t="s">
        <v>17</v>
      </c>
    </row>
    <row r="14" spans="1:10" ht="12.75" customHeight="1">
      <c r="A14" s="8" t="s">
        <v>131</v>
      </c>
      <c r="B14" s="8"/>
      <c r="C14" s="8"/>
      <c r="D14" s="12" t="s">
        <v>253</v>
      </c>
      <c r="E14" s="8"/>
      <c r="F14" s="8"/>
      <c r="G14" s="8"/>
    </row>
    <row r="15" spans="1:10" ht="12.75" customHeight="1">
      <c r="A15" s="8" t="s">
        <v>132</v>
      </c>
      <c r="B15" s="8"/>
      <c r="C15" s="8"/>
      <c r="D15" s="12" t="s">
        <v>254</v>
      </c>
      <c r="E15" s="8"/>
      <c r="F15" s="12" t="s">
        <v>133</v>
      </c>
      <c r="G15" s="8"/>
    </row>
    <row r="16" spans="1:10" ht="12.75" customHeight="1">
      <c r="A16" s="23" t="s">
        <v>134</v>
      </c>
      <c r="B16" s="23"/>
      <c r="C16" s="23"/>
      <c r="D16" s="23"/>
      <c r="E16" s="23"/>
      <c r="F16" s="24" t="s">
        <v>135</v>
      </c>
      <c r="G16" s="24" t="s">
        <v>37</v>
      </c>
    </row>
    <row r="17" spans="1:7" ht="12.75" customHeight="1">
      <c r="A17" s="29" t="s">
        <v>33</v>
      </c>
      <c r="B17" s="29"/>
      <c r="C17" s="30"/>
      <c r="D17" s="30" t="s">
        <v>255</v>
      </c>
      <c r="E17" s="29"/>
      <c r="F17" s="30" t="s">
        <v>38</v>
      </c>
      <c r="G17" s="30" t="s">
        <v>37</v>
      </c>
    </row>
    <row r="18" spans="1:7" ht="12.75" customHeight="1">
      <c r="A18" s="29" t="s">
        <v>34</v>
      </c>
      <c r="B18" s="29"/>
      <c r="C18" s="30"/>
      <c r="D18" s="30" t="s">
        <v>157</v>
      </c>
      <c r="E18" s="29"/>
      <c r="F18" s="30" t="s">
        <v>39</v>
      </c>
      <c r="G18" s="30" t="s">
        <v>37</v>
      </c>
    </row>
    <row r="19" spans="1:7" ht="12.75" customHeight="1">
      <c r="A19" s="29" t="s">
        <v>194</v>
      </c>
      <c r="B19" s="29"/>
      <c r="C19" s="30"/>
      <c r="D19" s="30" t="s">
        <v>256</v>
      </c>
      <c r="E19" s="29"/>
      <c r="F19" s="30" t="s">
        <v>195</v>
      </c>
      <c r="G19" s="30" t="s">
        <v>37</v>
      </c>
    </row>
    <row r="20" spans="1:7" ht="12.75" customHeight="1"/>
    <row r="21" spans="1:7" ht="12.75" customHeight="1"/>
    <row r="22" spans="1:7" ht="12.75" customHeight="1"/>
    <row r="23" spans="1:7" ht="12.75" customHeight="1"/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19" sqref="C19"/>
    </sheetView>
  </sheetViews>
  <sheetFormatPr baseColWidth="10" defaultRowHeight="15"/>
  <cols>
    <col min="7" max="7" width="15.71093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5</v>
      </c>
      <c r="H5" s="1"/>
      <c r="I5" s="1"/>
      <c r="J5" s="1"/>
    </row>
    <row r="6" spans="1:10" ht="12.75" customHeight="1">
      <c r="A6" s="1" t="s">
        <v>3</v>
      </c>
      <c r="B6" s="26">
        <v>19782000</v>
      </c>
      <c r="C6" s="1" t="s">
        <v>7</v>
      </c>
      <c r="D6" s="1" t="s">
        <v>356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44670</v>
      </c>
      <c r="C8" s="1"/>
      <c r="D8" s="1"/>
      <c r="E8" s="1"/>
      <c r="F8" s="1"/>
      <c r="G8" s="1"/>
    </row>
    <row r="9" spans="1:10" ht="12.75" customHeight="1">
      <c r="D9" s="3" t="s">
        <v>83</v>
      </c>
    </row>
    <row r="10" spans="1:10" ht="12.75" customHeight="1">
      <c r="A10" s="1"/>
    </row>
    <row r="11" spans="1:10" ht="12.75" customHeight="1">
      <c r="A11" s="2" t="s">
        <v>31</v>
      </c>
      <c r="C11" s="2" t="s">
        <v>8</v>
      </c>
      <c r="E11" s="1" t="s">
        <v>126</v>
      </c>
    </row>
    <row r="12" spans="1:10" ht="12.75" customHeight="1"/>
    <row r="13" spans="1:10" ht="12.75" customHeight="1">
      <c r="A13" s="23" t="s">
        <v>138</v>
      </c>
      <c r="B13" s="23"/>
      <c r="C13" s="24" t="s">
        <v>223</v>
      </c>
      <c r="D13" s="23"/>
      <c r="E13" s="24" t="s">
        <v>139</v>
      </c>
      <c r="F13" s="24" t="s">
        <v>140</v>
      </c>
    </row>
    <row r="14" spans="1:10" ht="12.75" customHeight="1">
      <c r="A14" s="29" t="s">
        <v>355</v>
      </c>
      <c r="B14" s="23"/>
      <c r="C14" s="29" t="s">
        <v>151</v>
      </c>
      <c r="D14" s="23"/>
      <c r="E14" s="30" t="s">
        <v>40</v>
      </c>
      <c r="F14" s="30" t="s">
        <v>188</v>
      </c>
    </row>
    <row r="15" spans="1:10" ht="12.75" customHeight="1">
      <c r="A15" s="23" t="s">
        <v>141</v>
      </c>
      <c r="B15" s="23"/>
      <c r="C15" s="24" t="s">
        <v>199</v>
      </c>
      <c r="D15" s="23"/>
      <c r="E15" s="24" t="s">
        <v>142</v>
      </c>
      <c r="F15" s="24" t="s">
        <v>37</v>
      </c>
    </row>
    <row r="16" spans="1:10" ht="12.75" customHeight="1">
      <c r="A16" s="8"/>
      <c r="B16" s="8"/>
      <c r="C16" s="8"/>
      <c r="D16" s="8"/>
      <c r="E16" s="8"/>
      <c r="F16" s="8"/>
    </row>
    <row r="17" spans="1:6" ht="12.75" customHeight="1">
      <c r="A17" s="8" t="s">
        <v>233</v>
      </c>
      <c r="C17" s="12" t="s">
        <v>151</v>
      </c>
      <c r="E17" s="12" t="s">
        <v>364</v>
      </c>
      <c r="F17" s="12" t="s">
        <v>188</v>
      </c>
    </row>
    <row r="18" spans="1:6" ht="12.75" customHeight="1"/>
    <row r="19" spans="1:6" ht="12.75" customHeight="1"/>
    <row r="20" spans="1:6" ht="12.75" customHeight="1"/>
    <row r="21" spans="1:6" ht="12.75" customHeight="1"/>
    <row r="22" spans="1:6" ht="12.75" customHeight="1"/>
    <row r="23" spans="1:6" ht="12.75" customHeight="1"/>
    <row r="24" spans="1:6" ht="12.75" customHeight="1"/>
    <row r="25" spans="1:6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selection activeCell="C20" sqref="C20"/>
    </sheetView>
  </sheetViews>
  <sheetFormatPr baseColWidth="10" defaultRowHeight="15"/>
  <cols>
    <col min="6" max="6" width="12.42578125" customWidth="1"/>
    <col min="7" max="7" width="17.855468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4"/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1"/>
      <c r="B4" s="1"/>
      <c r="C4" s="1"/>
      <c r="D4" s="9" t="s">
        <v>0</v>
      </c>
      <c r="E4" s="10"/>
      <c r="F4" s="10"/>
      <c r="G4" s="4" t="s">
        <v>1</v>
      </c>
      <c r="H4" s="1"/>
      <c r="I4" s="1"/>
      <c r="J4" s="1"/>
    </row>
    <row r="5" spans="1:10">
      <c r="A5" s="9" t="s">
        <v>2</v>
      </c>
      <c r="B5" s="1"/>
      <c r="C5" s="1"/>
      <c r="D5" s="1"/>
      <c r="E5" s="1"/>
      <c r="F5" s="1"/>
      <c r="G5" s="1">
        <v>2</v>
      </c>
      <c r="H5" s="1"/>
      <c r="I5" s="1"/>
      <c r="J5" s="1"/>
    </row>
    <row r="6" spans="1:10" ht="12.75" customHeight="1">
      <c r="A6" s="1" t="s">
        <v>3</v>
      </c>
      <c r="B6" s="26">
        <v>5393300</v>
      </c>
      <c r="C6" s="1" t="s">
        <v>7</v>
      </c>
      <c r="D6" s="1" t="s">
        <v>418</v>
      </c>
      <c r="E6" s="1"/>
      <c r="F6" s="1"/>
      <c r="G6" s="1"/>
      <c r="H6" s="1"/>
      <c r="I6" s="1"/>
      <c r="J6" s="1"/>
    </row>
    <row r="7" spans="1:10" ht="12.75" customHeight="1">
      <c r="A7" s="1" t="s">
        <v>4</v>
      </c>
      <c r="B7" s="5" t="s">
        <v>154</v>
      </c>
      <c r="C7" s="1" t="s">
        <v>6</v>
      </c>
      <c r="D7" s="1" t="s">
        <v>419</v>
      </c>
      <c r="E7" s="1"/>
      <c r="F7" s="1"/>
      <c r="G7" s="1"/>
      <c r="H7" s="1"/>
      <c r="I7" s="1"/>
      <c r="J7" s="1"/>
    </row>
    <row r="8" spans="1:10" ht="12.75" customHeight="1">
      <c r="A8" s="1" t="s">
        <v>5</v>
      </c>
      <c r="B8" s="20">
        <v>44788</v>
      </c>
      <c r="C8" s="1"/>
      <c r="D8" s="1"/>
      <c r="E8" s="1"/>
      <c r="F8" s="1"/>
      <c r="G8" s="1"/>
    </row>
    <row r="9" spans="1:10" ht="12.75" customHeight="1">
      <c r="D9" s="3" t="s">
        <v>30</v>
      </c>
    </row>
    <row r="10" spans="1:10" ht="12.75" customHeight="1"/>
    <row r="11" spans="1:10" ht="12.75" customHeight="1">
      <c r="A11" s="2" t="s">
        <v>31</v>
      </c>
      <c r="C11" s="2" t="s">
        <v>8</v>
      </c>
      <c r="F11" s="2" t="s">
        <v>9</v>
      </c>
    </row>
    <row r="12" spans="1:10" ht="12.75" customHeight="1">
      <c r="A12" s="8" t="s">
        <v>143</v>
      </c>
      <c r="B12" s="8"/>
      <c r="C12" s="12" t="s">
        <v>420</v>
      </c>
      <c r="D12" s="8"/>
      <c r="E12" s="8"/>
      <c r="F12" s="12" t="s">
        <v>144</v>
      </c>
      <c r="G12" s="12" t="s">
        <v>145</v>
      </c>
    </row>
    <row r="13" spans="1:10" ht="12.75" customHeight="1">
      <c r="A13" s="8" t="s">
        <v>152</v>
      </c>
      <c r="B13" s="8"/>
      <c r="C13" s="12" t="s">
        <v>421</v>
      </c>
      <c r="D13" s="8"/>
      <c r="E13" s="8"/>
      <c r="F13" s="12" t="s">
        <v>146</v>
      </c>
      <c r="G13" s="12" t="s">
        <v>145</v>
      </c>
    </row>
    <row r="14" spans="1:10" ht="12.75" customHeight="1">
      <c r="A14" s="8" t="s">
        <v>153</v>
      </c>
      <c r="B14" s="8"/>
      <c r="C14" s="12" t="s">
        <v>422</v>
      </c>
      <c r="D14" s="8"/>
      <c r="E14" s="8"/>
      <c r="F14" s="12" t="s">
        <v>417</v>
      </c>
      <c r="G14" s="12" t="s">
        <v>145</v>
      </c>
    </row>
    <row r="15" spans="1:10" ht="12.75" customHeight="1">
      <c r="A15" s="8"/>
      <c r="B15" s="8"/>
      <c r="C15" s="8"/>
      <c r="D15" s="8"/>
      <c r="E15" s="8"/>
      <c r="F15" s="8"/>
      <c r="G15" s="8"/>
    </row>
    <row r="16" spans="1:10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selection activeCell="E12" sqref="E12"/>
    </sheetView>
  </sheetViews>
  <sheetFormatPr baseColWidth="10" defaultRowHeight="15"/>
  <cols>
    <col min="7" max="7" width="14" customWidth="1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>
      <c r="A3" s="1"/>
      <c r="B3" s="1"/>
      <c r="C3" s="1"/>
      <c r="D3" s="1"/>
      <c r="E3" s="1"/>
      <c r="F3" s="1"/>
    </row>
    <row r="4" spans="1:7">
      <c r="A4" s="1"/>
      <c r="B4" s="1"/>
      <c r="C4" s="1"/>
      <c r="D4" s="9" t="s">
        <v>0</v>
      </c>
      <c r="E4" s="10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</row>
    <row r="6" spans="1:7" ht="12.75" customHeight="1">
      <c r="A6" s="1" t="s">
        <v>3</v>
      </c>
      <c r="B6" s="26">
        <v>31198085</v>
      </c>
      <c r="C6" s="1" t="s">
        <v>7</v>
      </c>
      <c r="D6" s="1" t="s">
        <v>163</v>
      </c>
      <c r="E6" s="1"/>
      <c r="F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164</v>
      </c>
      <c r="E7" s="1"/>
      <c r="F7" s="1"/>
    </row>
    <row r="8" spans="1:7" ht="12.75" customHeight="1">
      <c r="A8" s="1" t="s">
        <v>5</v>
      </c>
      <c r="B8" s="20">
        <v>44629</v>
      </c>
      <c r="C8" s="1"/>
      <c r="D8" s="1"/>
      <c r="E8" s="1"/>
      <c r="F8" s="1"/>
    </row>
    <row r="9" spans="1:7" ht="12.75" customHeight="1"/>
    <row r="10" spans="1:7" ht="12.75" customHeight="1">
      <c r="C10" s="2" t="s">
        <v>83</v>
      </c>
    </row>
    <row r="11" spans="1:7" ht="12.75" customHeight="1"/>
    <row r="12" spans="1:7" ht="12.75" customHeight="1">
      <c r="A12" s="2" t="s">
        <v>31</v>
      </c>
      <c r="C12" s="2" t="s">
        <v>8</v>
      </c>
      <c r="E12" s="2" t="s">
        <v>9</v>
      </c>
    </row>
    <row r="13" spans="1:7" ht="12.75" customHeight="1">
      <c r="A13" s="8" t="s">
        <v>165</v>
      </c>
      <c r="B13" s="8"/>
      <c r="C13" s="8"/>
      <c r="D13" s="8"/>
      <c r="E13" s="16" t="s">
        <v>166</v>
      </c>
      <c r="F13" s="12" t="s">
        <v>167</v>
      </c>
    </row>
    <row r="14" spans="1:7" ht="12.75" customHeight="1">
      <c r="A14" s="8" t="s">
        <v>168</v>
      </c>
      <c r="B14" s="8"/>
      <c r="C14" s="8"/>
      <c r="D14" s="8"/>
      <c r="E14" s="12" t="s">
        <v>173</v>
      </c>
      <c r="F14" s="12" t="s">
        <v>169</v>
      </c>
    </row>
    <row r="15" spans="1:7" ht="12.75" customHeight="1">
      <c r="A15" s="8" t="s">
        <v>170</v>
      </c>
      <c r="B15" s="8"/>
      <c r="C15" s="8"/>
      <c r="D15" s="8"/>
      <c r="E15" s="12" t="s">
        <v>171</v>
      </c>
      <c r="F15" s="16" t="s">
        <v>172</v>
      </c>
    </row>
    <row r="16" spans="1:7" ht="12.75" customHeight="1"/>
    <row r="17" spans="1:7" ht="12.75" customHeight="1"/>
    <row r="18" spans="1:7" ht="12.75" customHeight="1"/>
    <row r="19" spans="1:7" ht="12.75" customHeight="1"/>
    <row r="20" spans="1:7" ht="12.75" customHeight="1"/>
    <row r="21" spans="1:7" ht="12.75" customHeight="1"/>
    <row r="22" spans="1:7" ht="12.75" customHeight="1">
      <c r="G22" s="6"/>
    </row>
    <row r="23" spans="1:7" ht="12.75" customHeight="1">
      <c r="G23" s="7"/>
    </row>
    <row r="24" spans="1:7" ht="12.75" customHeight="1">
      <c r="G24" s="7"/>
    </row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G6" sqref="G6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G5">
        <v>2</v>
      </c>
    </row>
    <row r="6" spans="1:7" ht="12.75" customHeight="1">
      <c r="A6" s="1" t="s">
        <v>3</v>
      </c>
      <c r="B6" s="18">
        <v>7342587</v>
      </c>
      <c r="C6" s="1" t="s">
        <v>7</v>
      </c>
      <c r="D6" s="1" t="s">
        <v>425</v>
      </c>
      <c r="E6" s="1"/>
    </row>
    <row r="7" spans="1:7" ht="12.75" customHeight="1">
      <c r="A7" s="1" t="s">
        <v>4</v>
      </c>
      <c r="B7" s="5" t="s">
        <v>155</v>
      </c>
      <c r="C7" s="1" t="s">
        <v>6</v>
      </c>
      <c r="D7" s="1" t="s">
        <v>426</v>
      </c>
      <c r="E7" s="1"/>
    </row>
    <row r="8" spans="1:7" ht="12.75" customHeight="1">
      <c r="A8" s="1" t="s">
        <v>5</v>
      </c>
      <c r="B8" s="19">
        <v>44825</v>
      </c>
      <c r="C8" s="1"/>
      <c r="D8" s="1"/>
      <c r="E8" s="1"/>
    </row>
    <row r="9" spans="1:7" ht="12.75" customHeight="1"/>
    <row r="10" spans="1:7" ht="12.75" customHeight="1">
      <c r="C10" s="2" t="s">
        <v>83</v>
      </c>
    </row>
    <row r="11" spans="1:7" ht="12.75" customHeight="1"/>
    <row r="12" spans="1:7" ht="12.75" customHeight="1">
      <c r="A12" s="2" t="s">
        <v>31</v>
      </c>
      <c r="D12" s="2" t="s">
        <v>8</v>
      </c>
    </row>
    <row r="13" spans="1:7" ht="12.75" customHeight="1"/>
    <row r="14" spans="1:7" ht="12.75" customHeight="1">
      <c r="A14" s="8" t="s">
        <v>176</v>
      </c>
      <c r="B14" s="8" t="s">
        <v>98</v>
      </c>
      <c r="D14" s="8" t="s">
        <v>149</v>
      </c>
    </row>
    <row r="15" spans="1:7" ht="12.75" customHeight="1">
      <c r="B15" s="8" t="s">
        <v>97</v>
      </c>
      <c r="D15" s="8" t="s">
        <v>237</v>
      </c>
    </row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>
      <c r="A20" s="28" t="s">
        <v>178</v>
      </c>
    </row>
    <row r="21" spans="1:1" ht="12.75" customHeight="1">
      <c r="A21" s="28" t="s">
        <v>177</v>
      </c>
    </row>
    <row r="22" spans="1:1" ht="12.75" customHeight="1">
      <c r="A22" s="28" t="s">
        <v>179</v>
      </c>
    </row>
    <row r="23" spans="1:1" ht="12.75" customHeight="1">
      <c r="A23" s="28"/>
    </row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G21" sqref="G21"/>
    </sheetView>
  </sheetViews>
  <sheetFormatPr baseColWidth="10" defaultRowHeight="15"/>
  <cols>
    <col min="4" max="4" width="15.140625" customWidth="1"/>
    <col min="7" max="7" width="14" customWidth="1"/>
  </cols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G5">
        <v>1</v>
      </c>
    </row>
    <row r="6" spans="1:7" ht="12.75" customHeight="1">
      <c r="A6" s="1" t="s">
        <v>3</v>
      </c>
      <c r="B6" s="18">
        <v>5394881</v>
      </c>
      <c r="C6" s="1" t="s">
        <v>7</v>
      </c>
      <c r="D6" s="1" t="s">
        <v>174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175</v>
      </c>
      <c r="E7" s="1"/>
    </row>
    <row r="8" spans="1:7" ht="12.75" customHeight="1">
      <c r="A8" s="1" t="s">
        <v>5</v>
      </c>
      <c r="B8" s="19">
        <v>44631</v>
      </c>
      <c r="C8" s="1"/>
      <c r="D8" s="1"/>
      <c r="E8" s="1"/>
    </row>
    <row r="9" spans="1:7" ht="12.75" customHeight="1"/>
    <row r="10" spans="1:7" ht="12.75" customHeight="1">
      <c r="C10" s="2" t="s">
        <v>83</v>
      </c>
    </row>
    <row r="11" spans="1:7" ht="12.75" customHeight="1"/>
    <row r="12" spans="1:7" ht="12.75" customHeight="1">
      <c r="A12" s="2" t="s">
        <v>31</v>
      </c>
      <c r="C12" s="2" t="s">
        <v>8</v>
      </c>
      <c r="E12" s="2" t="s">
        <v>9</v>
      </c>
    </row>
    <row r="13" spans="1:7" ht="12.75" customHeight="1"/>
    <row r="14" spans="1:7" ht="12.75" customHeight="1">
      <c r="A14" s="8" t="s">
        <v>181</v>
      </c>
      <c r="B14" s="8"/>
      <c r="C14" s="8"/>
      <c r="D14" s="8"/>
      <c r="E14" s="12" t="s">
        <v>185</v>
      </c>
      <c r="F14" s="12" t="s">
        <v>169</v>
      </c>
    </row>
    <row r="15" spans="1:7" ht="12.75" customHeight="1">
      <c r="A15" s="8" t="s">
        <v>182</v>
      </c>
      <c r="B15" s="8"/>
      <c r="C15" s="8"/>
      <c r="D15" s="8"/>
      <c r="E15" s="12" t="s">
        <v>186</v>
      </c>
      <c r="F15" s="12" t="s">
        <v>187</v>
      </c>
    </row>
    <row r="16" spans="1:7" ht="12.75" customHeight="1">
      <c r="A16" s="8" t="s">
        <v>183</v>
      </c>
      <c r="B16" s="8"/>
      <c r="C16" s="8"/>
      <c r="D16" s="8"/>
      <c r="E16" s="12" t="s">
        <v>186</v>
      </c>
      <c r="F16" s="12" t="s">
        <v>188</v>
      </c>
    </row>
    <row r="17" spans="1:6" ht="12.75" customHeight="1">
      <c r="A17" s="8" t="s">
        <v>184</v>
      </c>
      <c r="B17" s="8"/>
      <c r="C17" s="8"/>
      <c r="D17" s="8"/>
      <c r="E17" s="12" t="s">
        <v>186</v>
      </c>
      <c r="F17" s="12" t="s">
        <v>187</v>
      </c>
    </row>
    <row r="18" spans="1:6" ht="12.75" customHeight="1">
      <c r="A18" s="8" t="s">
        <v>180</v>
      </c>
      <c r="B18" s="8"/>
      <c r="C18" s="8"/>
      <c r="D18" s="8" t="s">
        <v>190</v>
      </c>
      <c r="E18" s="12" t="s">
        <v>191</v>
      </c>
      <c r="F18" s="12" t="s">
        <v>169</v>
      </c>
    </row>
    <row r="19" spans="1:6" ht="12.75" customHeight="1">
      <c r="A19" s="8"/>
      <c r="B19" s="8"/>
      <c r="C19" s="8"/>
      <c r="D19" s="8" t="s">
        <v>189</v>
      </c>
      <c r="E19" s="12" t="s">
        <v>29</v>
      </c>
      <c r="F19" s="12" t="s">
        <v>169</v>
      </c>
    </row>
    <row r="20" spans="1:6" ht="12.75" customHeight="1">
      <c r="A20" s="8"/>
      <c r="B20" s="8"/>
      <c r="C20" s="8"/>
      <c r="D20" s="8"/>
      <c r="E20" s="8"/>
      <c r="F20" s="8"/>
    </row>
    <row r="21" spans="1:6" ht="12.75" customHeight="1">
      <c r="A21" s="8"/>
      <c r="B21" s="8"/>
      <c r="C21" s="8"/>
      <c r="D21" s="8"/>
      <c r="E21" s="8"/>
      <c r="F21" s="8"/>
    </row>
    <row r="22" spans="1:6" ht="12.75" customHeight="1">
      <c r="A22" s="14" t="s">
        <v>192</v>
      </c>
      <c r="B22" s="8" t="s">
        <v>193</v>
      </c>
      <c r="C22" s="8"/>
      <c r="D22" s="8"/>
      <c r="E22" s="8"/>
      <c r="F22" s="8"/>
    </row>
    <row r="23" spans="1:6" ht="12.75" customHeight="1"/>
    <row r="24" spans="1:6" ht="12.75" customHeight="1"/>
    <row r="25" spans="1:6" ht="12.75" customHeight="1">
      <c r="A25" s="15" t="s">
        <v>156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G5">
        <v>2</v>
      </c>
    </row>
    <row r="6" spans="1:7" ht="12.75" customHeight="1">
      <c r="A6" s="1" t="s">
        <v>3</v>
      </c>
      <c r="B6" s="18">
        <v>8364821</v>
      </c>
      <c r="C6" s="1" t="s">
        <v>7</v>
      </c>
      <c r="D6" s="1" t="s">
        <v>197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198</v>
      </c>
      <c r="E7" s="1"/>
    </row>
    <row r="8" spans="1:7" ht="12.75" customHeight="1">
      <c r="A8" s="1" t="s">
        <v>5</v>
      </c>
      <c r="B8" s="19">
        <v>44634</v>
      </c>
      <c r="C8" s="1"/>
      <c r="D8" s="1"/>
      <c r="E8" s="1"/>
    </row>
    <row r="9" spans="1:7" ht="12.75" customHeight="1"/>
    <row r="10" spans="1:7" ht="12.75" customHeight="1">
      <c r="A10" s="1"/>
      <c r="B10" s="1"/>
      <c r="C10" s="2" t="s">
        <v>83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31</v>
      </c>
      <c r="B12" s="1"/>
      <c r="C12" s="2" t="s">
        <v>8</v>
      </c>
      <c r="D12" s="1"/>
      <c r="E12" s="2" t="s">
        <v>9</v>
      </c>
      <c r="F12" s="1"/>
    </row>
    <row r="13" spans="1:7" ht="12.75" customHeight="1"/>
    <row r="14" spans="1:7" ht="12.75" customHeight="1">
      <c r="A14" s="17" t="s">
        <v>204</v>
      </c>
      <c r="B14" s="17"/>
      <c r="C14" s="31">
        <v>216</v>
      </c>
      <c r="D14" s="17"/>
      <c r="E14" s="17" t="s">
        <v>205</v>
      </c>
      <c r="F14" s="31" t="s">
        <v>206</v>
      </c>
    </row>
    <row r="15" spans="1:7" ht="12.75" customHeight="1"/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C19" sqref="C19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7" ht="12.75" customHeight="1">
      <c r="A6" s="1" t="s">
        <v>3</v>
      </c>
      <c r="B6" s="18">
        <v>19782000</v>
      </c>
      <c r="C6" s="1" t="s">
        <v>7</v>
      </c>
      <c r="D6" s="1" t="s">
        <v>356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</row>
    <row r="8" spans="1:7" ht="12.75" customHeight="1">
      <c r="A8" s="1" t="s">
        <v>5</v>
      </c>
      <c r="B8" s="19">
        <v>44701</v>
      </c>
      <c r="C8" s="1"/>
      <c r="D8" s="1"/>
      <c r="E8" s="1"/>
    </row>
    <row r="9" spans="1:7" ht="12.75" customHeight="1"/>
    <row r="10" spans="1:7" ht="12.75" customHeight="1">
      <c r="A10" s="1"/>
      <c r="B10" s="1"/>
      <c r="C10" s="2" t="s">
        <v>83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31</v>
      </c>
      <c r="B12" s="1"/>
      <c r="C12" s="2" t="s">
        <v>8</v>
      </c>
      <c r="D12" s="1"/>
      <c r="E12" s="2" t="s">
        <v>9</v>
      </c>
      <c r="F12" s="1"/>
    </row>
    <row r="13" spans="1:7" ht="12.75" customHeight="1">
      <c r="A13" s="8" t="s">
        <v>207</v>
      </c>
      <c r="B13" s="8"/>
      <c r="C13" s="12" t="s">
        <v>379</v>
      </c>
      <c r="D13" s="8"/>
      <c r="E13" s="16" t="s">
        <v>208</v>
      </c>
      <c r="F13" s="16" t="s">
        <v>209</v>
      </c>
      <c r="G13" s="8"/>
    </row>
    <row r="14" spans="1:7" ht="12.75" customHeight="1">
      <c r="A14" s="8" t="s">
        <v>314</v>
      </c>
      <c r="B14" s="8"/>
      <c r="C14" s="12" t="s">
        <v>380</v>
      </c>
      <c r="D14" s="8"/>
      <c r="E14" s="8" t="s">
        <v>315</v>
      </c>
      <c r="F14" s="16" t="s">
        <v>209</v>
      </c>
      <c r="G14" s="8"/>
    </row>
    <row r="15" spans="1:7" ht="12.75" customHeight="1">
      <c r="A15" s="8"/>
      <c r="B15" s="8"/>
      <c r="C15" s="8"/>
      <c r="D15" s="8"/>
      <c r="E15" s="8"/>
      <c r="F15" s="8"/>
      <c r="G15" s="8"/>
    </row>
    <row r="16" spans="1:7" ht="12.75" customHeight="1">
      <c r="A16" s="8" t="s">
        <v>210</v>
      </c>
      <c r="B16" s="8"/>
      <c r="C16" s="12" t="s">
        <v>381</v>
      </c>
      <c r="D16" s="8"/>
      <c r="E16" s="12" t="s">
        <v>211</v>
      </c>
      <c r="F16" s="12" t="s">
        <v>212</v>
      </c>
      <c r="G16" s="8"/>
    </row>
    <row r="17" spans="1:7" ht="12.75" customHeight="1">
      <c r="A17" s="8" t="s">
        <v>213</v>
      </c>
      <c r="B17" s="8"/>
      <c r="C17" s="12" t="s">
        <v>382</v>
      </c>
      <c r="D17" s="8"/>
      <c r="E17" s="12" t="s">
        <v>214</v>
      </c>
      <c r="F17" s="12" t="s">
        <v>212</v>
      </c>
      <c r="G17" s="8"/>
    </row>
    <row r="18" spans="1:7" ht="12.75" customHeight="1">
      <c r="A18" s="8" t="s">
        <v>215</v>
      </c>
      <c r="B18" s="8"/>
      <c r="C18" s="12" t="s">
        <v>383</v>
      </c>
      <c r="D18" s="8"/>
      <c r="E18" s="12" t="s">
        <v>216</v>
      </c>
      <c r="F18" s="12" t="s">
        <v>188</v>
      </c>
      <c r="G18" s="8"/>
    </row>
    <row r="19" spans="1:7" ht="12.75" customHeight="1">
      <c r="A19" s="8"/>
      <c r="B19" s="8"/>
      <c r="C19" s="8"/>
      <c r="D19" s="8"/>
      <c r="E19" s="8"/>
      <c r="F19" s="8"/>
      <c r="G19" s="8"/>
    </row>
    <row r="20" spans="1:7" ht="12.75" customHeight="1"/>
    <row r="21" spans="1:7" ht="12.75" customHeight="1"/>
    <row r="22" spans="1:7" ht="12.75" customHeight="1"/>
    <row r="23" spans="1:7" ht="12.75" customHeight="1">
      <c r="A23" s="2" t="s">
        <v>192</v>
      </c>
      <c r="B23" s="1" t="s">
        <v>218</v>
      </c>
    </row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D20" sqref="D20"/>
    </sheetView>
  </sheetViews>
  <sheetFormatPr baseColWidth="10" defaultRowHeight="15"/>
  <cols>
    <col min="7" max="7" width="11.42578125" customWidth="1"/>
  </cols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3</v>
      </c>
    </row>
    <row r="6" spans="1:7" ht="12.75" customHeight="1">
      <c r="A6" s="1" t="s">
        <v>3</v>
      </c>
      <c r="B6" s="18">
        <v>12954708</v>
      </c>
      <c r="C6" s="1" t="s">
        <v>7</v>
      </c>
      <c r="D6" s="1" t="s">
        <v>333</v>
      </c>
      <c r="E6" s="1"/>
      <c r="F6" s="1"/>
      <c r="G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334</v>
      </c>
      <c r="E7" s="1"/>
      <c r="F7" s="1"/>
      <c r="G7" s="1"/>
    </row>
    <row r="8" spans="1:7" ht="12.75" customHeight="1">
      <c r="A8" s="1" t="s">
        <v>5</v>
      </c>
      <c r="B8" s="19">
        <v>44663</v>
      </c>
      <c r="C8" s="1"/>
      <c r="D8" s="1"/>
      <c r="E8" s="1"/>
      <c r="F8" s="1"/>
      <c r="G8" s="1"/>
    </row>
    <row r="9" spans="1:7" ht="12.75" customHeight="1"/>
    <row r="10" spans="1:7" ht="12.75" customHeight="1">
      <c r="C10" s="2" t="s">
        <v>219</v>
      </c>
    </row>
    <row r="11" spans="1:7" ht="12.75" customHeight="1"/>
    <row r="12" spans="1:7" ht="12.75" customHeight="1">
      <c r="A12" s="2" t="s">
        <v>31</v>
      </c>
      <c r="B12" s="1"/>
      <c r="C12" s="2" t="s">
        <v>8</v>
      </c>
    </row>
    <row r="13" spans="1:7" ht="12.75" customHeight="1">
      <c r="A13" s="8" t="s">
        <v>220</v>
      </c>
      <c r="B13" s="8"/>
      <c r="C13" s="8" t="s">
        <v>335</v>
      </c>
      <c r="D13" s="8"/>
      <c r="E13" s="8"/>
    </row>
    <row r="14" spans="1:7" ht="12.75" customHeight="1">
      <c r="A14" s="8" t="s">
        <v>221</v>
      </c>
      <c r="B14" s="8"/>
      <c r="C14" s="29" t="s">
        <v>336</v>
      </c>
      <c r="D14" s="8"/>
      <c r="E14" s="8"/>
    </row>
    <row r="15" spans="1:7" ht="12.75" customHeight="1">
      <c r="C15" s="8" t="s">
        <v>337</v>
      </c>
    </row>
    <row r="16" spans="1:7" ht="12.75" customHeight="1">
      <c r="A16" s="8" t="s">
        <v>222</v>
      </c>
      <c r="B16" s="8"/>
      <c r="C16" s="8" t="s">
        <v>258</v>
      </c>
      <c r="D16" s="8"/>
      <c r="E16" s="8"/>
    </row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G5">
        <v>1</v>
      </c>
    </row>
    <row r="6" spans="1:7" ht="12.75" customHeight="1">
      <c r="A6" s="1" t="s">
        <v>3</v>
      </c>
      <c r="B6" s="18">
        <v>4025434</v>
      </c>
      <c r="C6" s="1" t="s">
        <v>7</v>
      </c>
      <c r="D6" s="1" t="s">
        <v>239</v>
      </c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240</v>
      </c>
    </row>
    <row r="8" spans="1:7" ht="12.75" customHeight="1">
      <c r="A8" s="1" t="s">
        <v>5</v>
      </c>
      <c r="B8" s="19">
        <v>44656</v>
      </c>
      <c r="C8" s="1"/>
      <c r="D8" s="1"/>
    </row>
    <row r="9" spans="1:7" ht="12.75" customHeight="1"/>
    <row r="10" spans="1:7" ht="12.75" customHeight="1">
      <c r="C10" s="32" t="s">
        <v>83</v>
      </c>
    </row>
    <row r="11" spans="1:7" ht="12.75" customHeight="1"/>
    <row r="12" spans="1:7" ht="12.75" customHeight="1">
      <c r="A12" s="2" t="s">
        <v>224</v>
      </c>
      <c r="C12" s="2" t="s">
        <v>8</v>
      </c>
      <c r="D12" s="2"/>
      <c r="E12" s="2" t="s">
        <v>126</v>
      </c>
    </row>
    <row r="13" spans="1:7" ht="12.75" customHeight="1"/>
    <row r="14" spans="1:7" ht="12.75" customHeight="1">
      <c r="A14" s="1" t="s">
        <v>225</v>
      </c>
      <c r="C14" s="5" t="s">
        <v>241</v>
      </c>
      <c r="E14" s="5" t="s">
        <v>226</v>
      </c>
      <c r="F14" s="5" t="s">
        <v>14</v>
      </c>
    </row>
    <row r="15" spans="1:7" ht="12.75" customHeight="1"/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C17" sqref="C17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8</v>
      </c>
    </row>
    <row r="6" spans="1:7" ht="12.75" customHeight="1">
      <c r="A6" s="1" t="s">
        <v>3</v>
      </c>
      <c r="B6" s="18">
        <v>18464198</v>
      </c>
      <c r="C6" s="1" t="s">
        <v>7</v>
      </c>
      <c r="D6" s="1" t="s">
        <v>260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261</v>
      </c>
      <c r="E7" s="1"/>
    </row>
    <row r="8" spans="1:7" ht="12.75" customHeight="1">
      <c r="A8" s="1" t="s">
        <v>5</v>
      </c>
      <c r="B8" s="19">
        <v>44656</v>
      </c>
      <c r="C8" s="1"/>
      <c r="D8" s="1"/>
      <c r="E8" s="1"/>
    </row>
    <row r="10" spans="1:7" ht="12.75" customHeight="1">
      <c r="C10" s="32" t="s">
        <v>83</v>
      </c>
    </row>
    <row r="11" spans="1:7" ht="12.75" customHeight="1"/>
    <row r="12" spans="1:7" ht="12.75" customHeight="1">
      <c r="A12" s="2" t="s">
        <v>224</v>
      </c>
      <c r="B12" s="1"/>
      <c r="C12" s="2" t="s">
        <v>8</v>
      </c>
      <c r="D12" s="2"/>
      <c r="E12" s="2" t="s">
        <v>126</v>
      </c>
      <c r="F12" s="1"/>
    </row>
    <row r="13" spans="1:7" ht="13.5" customHeight="1"/>
    <row r="14" spans="1:7" ht="12.75" customHeight="1">
      <c r="A14" s="1" t="s">
        <v>423</v>
      </c>
      <c r="C14" s="5" t="s">
        <v>259</v>
      </c>
      <c r="E14" s="1" t="s">
        <v>242</v>
      </c>
      <c r="F14" s="33" t="s">
        <v>243</v>
      </c>
    </row>
    <row r="15" spans="1:7" ht="12.75" customHeight="1">
      <c r="E15" s="1" t="s">
        <v>149</v>
      </c>
      <c r="F15" s="33" t="s">
        <v>244</v>
      </c>
    </row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4:H25"/>
  <sheetViews>
    <sheetView workbookViewId="0">
      <selection activeCell="C22" sqref="C22"/>
    </sheetView>
  </sheetViews>
  <sheetFormatPr baseColWidth="10" defaultRowHeight="15"/>
  <sheetData>
    <row r="4" spans="1:8">
      <c r="D4" s="9" t="s">
        <v>0</v>
      </c>
      <c r="E4" s="10"/>
      <c r="F4" s="1"/>
      <c r="G4" s="22" t="s">
        <v>1</v>
      </c>
      <c r="H4" s="1"/>
    </row>
    <row r="5" spans="1:8" ht="12.75" customHeight="1">
      <c r="A5" s="9" t="s">
        <v>2</v>
      </c>
      <c r="B5" s="1"/>
      <c r="C5" s="1"/>
      <c r="D5" s="1"/>
      <c r="E5" s="1"/>
      <c r="F5" s="1"/>
      <c r="G5" s="1">
        <v>4</v>
      </c>
      <c r="H5" s="1"/>
    </row>
    <row r="6" spans="1:8" ht="12.75" customHeight="1">
      <c r="A6" s="1" t="s">
        <v>3</v>
      </c>
      <c r="B6" s="18">
        <v>4023776</v>
      </c>
      <c r="C6" s="1" t="s">
        <v>7</v>
      </c>
      <c r="D6" s="1" t="s">
        <v>245</v>
      </c>
      <c r="E6" s="1"/>
      <c r="F6" s="1"/>
    </row>
    <row r="7" spans="1:8" ht="12.75" customHeight="1">
      <c r="A7" s="1" t="s">
        <v>4</v>
      </c>
      <c r="B7" s="5" t="s">
        <v>155</v>
      </c>
      <c r="C7" s="1" t="s">
        <v>6</v>
      </c>
      <c r="D7" s="1" t="s">
        <v>246</v>
      </c>
      <c r="E7" s="1"/>
      <c r="F7" s="1"/>
    </row>
    <row r="8" spans="1:8" ht="12.75" customHeight="1">
      <c r="A8" s="1" t="s">
        <v>5</v>
      </c>
      <c r="B8" s="19">
        <v>44656</v>
      </c>
      <c r="C8" s="1"/>
      <c r="D8" s="1"/>
      <c r="E8" s="1"/>
      <c r="F8" s="1"/>
    </row>
    <row r="9" spans="1:8" ht="12.75" customHeight="1">
      <c r="A9" s="1"/>
      <c r="B9" s="1"/>
      <c r="C9" s="1"/>
      <c r="D9" s="1"/>
      <c r="E9" s="1"/>
      <c r="F9" s="1"/>
    </row>
    <row r="10" spans="1:8" ht="12.75" customHeight="1">
      <c r="A10" s="1"/>
      <c r="B10" s="1"/>
      <c r="C10" s="32" t="s">
        <v>83</v>
      </c>
      <c r="D10" s="1"/>
      <c r="E10" s="1"/>
      <c r="F10" s="1"/>
    </row>
    <row r="11" spans="1:8" ht="12.75" customHeight="1">
      <c r="A11" s="1"/>
      <c r="B11" s="1"/>
      <c r="C11" s="1"/>
      <c r="D11" s="1"/>
      <c r="E11" s="1"/>
      <c r="F11" s="1"/>
    </row>
    <row r="12" spans="1:8" ht="12.75" customHeight="1">
      <c r="A12" s="2" t="s">
        <v>224</v>
      </c>
      <c r="B12" s="1"/>
      <c r="C12" s="2" t="s">
        <v>8</v>
      </c>
      <c r="D12" s="2"/>
      <c r="E12" s="2" t="s">
        <v>126</v>
      </c>
      <c r="F12" s="1"/>
    </row>
    <row r="13" spans="1:8" ht="12.75" customHeight="1"/>
    <row r="14" spans="1:8" ht="12.75" customHeight="1">
      <c r="A14" s="8" t="s">
        <v>248</v>
      </c>
      <c r="B14" s="8"/>
      <c r="C14" s="12" t="s">
        <v>264</v>
      </c>
      <c r="D14" s="8"/>
      <c r="E14" s="8" t="s">
        <v>463</v>
      </c>
      <c r="F14" s="8" t="s">
        <v>169</v>
      </c>
    </row>
    <row r="15" spans="1:8" ht="12.75" customHeight="1">
      <c r="A15" s="8" t="s">
        <v>249</v>
      </c>
      <c r="B15" s="8"/>
      <c r="C15" s="12" t="s">
        <v>265</v>
      </c>
      <c r="D15" s="8"/>
      <c r="E15" s="8" t="s">
        <v>462</v>
      </c>
      <c r="F15" s="8" t="s">
        <v>169</v>
      </c>
    </row>
    <row r="16" spans="1:8" ht="12.75" customHeight="1">
      <c r="A16" s="8" t="s">
        <v>262</v>
      </c>
      <c r="B16" s="8"/>
      <c r="C16" s="12" t="s">
        <v>266</v>
      </c>
      <c r="D16" s="8"/>
      <c r="E16" s="8"/>
      <c r="F16" s="8"/>
    </row>
    <row r="17" spans="1:6" ht="12.75" customHeight="1">
      <c r="A17" s="8" t="s">
        <v>263</v>
      </c>
      <c r="B17" s="8"/>
      <c r="C17" s="12" t="s">
        <v>267</v>
      </c>
      <c r="D17" s="8"/>
      <c r="E17" s="8"/>
      <c r="F17" s="8" t="s">
        <v>14</v>
      </c>
    </row>
    <row r="18" spans="1:6" ht="12.75" customHeight="1"/>
    <row r="19" spans="1:6" ht="12.75" customHeight="1">
      <c r="A19" s="8" t="s">
        <v>464</v>
      </c>
    </row>
    <row r="20" spans="1:6" ht="12.75" customHeight="1">
      <c r="B20" s="8" t="s">
        <v>465</v>
      </c>
    </row>
    <row r="21" spans="1:6" ht="12.75" customHeight="1"/>
    <row r="22" spans="1:6" ht="12.75" customHeight="1"/>
    <row r="23" spans="1:6" ht="12.75" customHeight="1">
      <c r="A23" s="14" t="s">
        <v>192</v>
      </c>
      <c r="B23" s="8" t="s">
        <v>218</v>
      </c>
    </row>
    <row r="24" spans="1:6" ht="12.75" customHeight="1"/>
    <row r="25" spans="1:6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10" sqref="A10:F12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9</v>
      </c>
    </row>
    <row r="6" spans="1:7" ht="12.75" customHeight="1">
      <c r="A6" s="1" t="s">
        <v>3</v>
      </c>
      <c r="B6" s="18">
        <v>14633913</v>
      </c>
      <c r="C6" s="1" t="s">
        <v>7</v>
      </c>
      <c r="D6" s="1" t="s">
        <v>280</v>
      </c>
      <c r="E6" s="1"/>
      <c r="F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281</v>
      </c>
      <c r="E7" s="1"/>
      <c r="F7" s="1"/>
    </row>
    <row r="8" spans="1:7" ht="12.75" customHeight="1">
      <c r="A8" s="1" t="s">
        <v>5</v>
      </c>
      <c r="B8" s="19">
        <v>44657</v>
      </c>
      <c r="C8" s="1"/>
      <c r="D8" s="1"/>
      <c r="E8" s="1"/>
      <c r="F8" s="1"/>
    </row>
    <row r="9" spans="1:7" ht="12.75" customHeight="1">
      <c r="A9" s="1"/>
      <c r="B9" s="1"/>
      <c r="C9" s="1"/>
      <c r="D9" s="1"/>
      <c r="E9" s="1"/>
      <c r="F9" s="1"/>
    </row>
    <row r="10" spans="1:7" ht="12.75" customHeight="1">
      <c r="A10" s="1"/>
      <c r="B10" s="1"/>
      <c r="C10" s="32" t="s">
        <v>83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224</v>
      </c>
      <c r="B12" s="1"/>
      <c r="C12" s="2" t="s">
        <v>8</v>
      </c>
      <c r="D12" s="2"/>
      <c r="E12" s="2" t="s">
        <v>126</v>
      </c>
      <c r="F12" s="1"/>
    </row>
    <row r="13" spans="1:7" ht="12.75" customHeight="1">
      <c r="A13" s="8" t="s">
        <v>268</v>
      </c>
      <c r="C13" s="8" t="s">
        <v>282</v>
      </c>
      <c r="E13" s="34" t="s">
        <v>276</v>
      </c>
    </row>
    <row r="14" spans="1:7" ht="12.75" customHeight="1">
      <c r="A14" s="8" t="s">
        <v>269</v>
      </c>
      <c r="C14" s="8" t="s">
        <v>151</v>
      </c>
      <c r="E14" s="34" t="s">
        <v>277</v>
      </c>
    </row>
    <row r="15" spans="1:7" ht="12.75" customHeight="1">
      <c r="A15" s="8" t="s">
        <v>270</v>
      </c>
      <c r="C15" s="8" t="s">
        <v>151</v>
      </c>
      <c r="E15" s="34" t="s">
        <v>278</v>
      </c>
    </row>
    <row r="16" spans="1:7" ht="12.75" customHeight="1">
      <c r="A16" s="8" t="s">
        <v>271</v>
      </c>
      <c r="C16" s="8" t="s">
        <v>282</v>
      </c>
      <c r="E16" s="34" t="s">
        <v>279</v>
      </c>
    </row>
    <row r="17" spans="1:5" ht="12.75" customHeight="1">
      <c r="A17" s="8" t="s">
        <v>272</v>
      </c>
      <c r="C17" s="8" t="s">
        <v>283</v>
      </c>
      <c r="E17" s="34" t="s">
        <v>276</v>
      </c>
    </row>
    <row r="18" spans="1:5" ht="12.75" customHeight="1">
      <c r="A18" s="8" t="s">
        <v>273</v>
      </c>
      <c r="C18" s="8" t="s">
        <v>151</v>
      </c>
      <c r="E18" s="34" t="s">
        <v>277</v>
      </c>
    </row>
    <row r="19" spans="1:5" ht="12.75" customHeight="1">
      <c r="A19" s="8" t="s">
        <v>274</v>
      </c>
      <c r="C19" s="8" t="s">
        <v>282</v>
      </c>
      <c r="E19" s="34" t="s">
        <v>277</v>
      </c>
    </row>
    <row r="20" spans="1:5" ht="12.75" customHeight="1">
      <c r="A20" s="8" t="s">
        <v>275</v>
      </c>
      <c r="C20" s="8" t="s">
        <v>282</v>
      </c>
      <c r="E20" s="34" t="s">
        <v>279</v>
      </c>
    </row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B7" sqref="B7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G5">
        <v>5</v>
      </c>
    </row>
    <row r="6" spans="1:7" ht="12.75" customHeight="1">
      <c r="A6" s="1" t="s">
        <v>3</v>
      </c>
      <c r="B6" s="18">
        <v>19782000</v>
      </c>
      <c r="C6" s="1" t="s">
        <v>7</v>
      </c>
      <c r="D6" s="1" t="s">
        <v>356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</row>
    <row r="8" spans="1:7" ht="12.75" customHeight="1">
      <c r="A8" s="1" t="s">
        <v>5</v>
      </c>
      <c r="B8" s="19">
        <v>44701</v>
      </c>
      <c r="C8" s="1" t="s">
        <v>304</v>
      </c>
      <c r="D8" s="20">
        <v>44697</v>
      </c>
      <c r="E8" s="1"/>
    </row>
    <row r="9" spans="1:7" ht="12.75" customHeight="1"/>
    <row r="10" spans="1:7" ht="12.75" customHeight="1">
      <c r="C10" s="2" t="s">
        <v>285</v>
      </c>
    </row>
    <row r="11" spans="1:7" ht="12.75" customHeight="1"/>
    <row r="12" spans="1:7" ht="12.75" customHeight="1">
      <c r="A12" s="2" t="s">
        <v>31</v>
      </c>
      <c r="C12" s="32" t="s">
        <v>8</v>
      </c>
      <c r="E12" s="2" t="s">
        <v>286</v>
      </c>
    </row>
    <row r="13" spans="1:7" ht="12.75" customHeight="1">
      <c r="A13" s="23" t="s">
        <v>287</v>
      </c>
      <c r="B13" s="27"/>
      <c r="C13" s="24" t="s">
        <v>288</v>
      </c>
      <c r="D13" s="27"/>
      <c r="E13" s="41" t="s">
        <v>291</v>
      </c>
      <c r="F13" s="24" t="s">
        <v>289</v>
      </c>
      <c r="G13" s="42" t="s">
        <v>290</v>
      </c>
    </row>
    <row r="14" spans="1:7" ht="12.75" customHeight="1">
      <c r="A14" s="27"/>
      <c r="B14" s="27"/>
      <c r="C14" s="27"/>
      <c r="D14" s="27"/>
      <c r="E14" s="41" t="s">
        <v>120</v>
      </c>
      <c r="F14" s="24" t="s">
        <v>292</v>
      </c>
      <c r="G14" s="43" t="s">
        <v>290</v>
      </c>
    </row>
    <row r="15" spans="1:7" ht="12.75" customHeight="1"/>
    <row r="16" spans="1:7" ht="12.75" customHeight="1">
      <c r="A16" s="8" t="s">
        <v>293</v>
      </c>
      <c r="C16" s="36" t="s">
        <v>378</v>
      </c>
      <c r="E16" s="8" t="s">
        <v>294</v>
      </c>
      <c r="F16" s="8"/>
      <c r="G16" s="25" t="s">
        <v>169</v>
      </c>
    </row>
    <row r="17" spans="1:7" ht="12.75" customHeight="1">
      <c r="E17" s="8" t="s">
        <v>295</v>
      </c>
      <c r="F17" s="8"/>
      <c r="G17" s="25" t="s">
        <v>169</v>
      </c>
    </row>
    <row r="18" spans="1:7" ht="12.75" customHeight="1">
      <c r="E18" s="8" t="s">
        <v>296</v>
      </c>
      <c r="G18" s="25" t="s">
        <v>169</v>
      </c>
    </row>
    <row r="19" spans="1:7" ht="12.75" customHeight="1">
      <c r="E19" s="8" t="s">
        <v>297</v>
      </c>
      <c r="G19" s="5"/>
    </row>
    <row r="20" spans="1:7" ht="12.75" customHeight="1">
      <c r="E20" s="8" t="s">
        <v>120</v>
      </c>
      <c r="F20" s="8" t="s">
        <v>298</v>
      </c>
      <c r="G20" s="37"/>
    </row>
    <row r="21" spans="1:7" ht="12.75" customHeight="1"/>
    <row r="22" spans="1:7" ht="12.75" customHeight="1"/>
    <row r="23" spans="1:7" ht="12.75" customHeight="1"/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7" ht="12.75" customHeight="1">
      <c r="A6" s="1" t="s">
        <v>3</v>
      </c>
      <c r="B6" s="18">
        <v>17658606</v>
      </c>
      <c r="C6" s="1" t="s">
        <v>7</v>
      </c>
      <c r="D6" s="1" t="s">
        <v>299</v>
      </c>
      <c r="E6" s="1"/>
      <c r="F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257</v>
      </c>
      <c r="E7" s="1"/>
      <c r="F7" s="1"/>
    </row>
    <row r="8" spans="1:7" ht="12.75" customHeight="1">
      <c r="A8" s="1" t="s">
        <v>5</v>
      </c>
      <c r="B8" s="19">
        <v>44657</v>
      </c>
      <c r="C8" s="1" t="s">
        <v>304</v>
      </c>
      <c r="D8" s="20">
        <v>44652</v>
      </c>
      <c r="E8" s="1"/>
      <c r="F8" s="1"/>
    </row>
    <row r="9" spans="1:7" ht="12.75" customHeight="1">
      <c r="A9" s="1"/>
      <c r="B9" s="1"/>
      <c r="C9" s="1"/>
      <c r="D9" s="1"/>
      <c r="E9" s="1"/>
      <c r="F9" s="1"/>
    </row>
    <row r="10" spans="1:7" ht="12.75" customHeight="1">
      <c r="A10" s="1"/>
      <c r="B10" s="1"/>
      <c r="C10" s="2" t="s">
        <v>285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31</v>
      </c>
      <c r="B12" s="1"/>
      <c r="C12" s="32" t="s">
        <v>8</v>
      </c>
      <c r="D12" s="1"/>
      <c r="E12" s="2" t="s">
        <v>286</v>
      </c>
      <c r="F12" s="1"/>
    </row>
    <row r="13" spans="1:7" ht="12.75" customHeight="1">
      <c r="A13" s="8" t="s">
        <v>300</v>
      </c>
      <c r="C13" s="12" t="s">
        <v>301</v>
      </c>
      <c r="E13" s="35" t="s">
        <v>121</v>
      </c>
      <c r="F13" s="8" t="s">
        <v>208</v>
      </c>
      <c r="G13" s="8" t="s">
        <v>169</v>
      </c>
    </row>
    <row r="14" spans="1:7" ht="12.75" customHeight="1">
      <c r="E14" s="8" t="s">
        <v>302</v>
      </c>
      <c r="G14" s="8" t="s">
        <v>169</v>
      </c>
    </row>
    <row r="15" spans="1:7" ht="12.75" customHeight="1">
      <c r="E15" s="35" t="s">
        <v>120</v>
      </c>
      <c r="F15" s="8" t="s">
        <v>303</v>
      </c>
      <c r="G15" s="8" t="s">
        <v>169</v>
      </c>
    </row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C14" sqref="C14"/>
    </sheetView>
  </sheetViews>
  <sheetFormatPr baseColWidth="10" defaultRowHeight="15"/>
  <cols>
    <col min="7" max="7" width="13.7109375" customWidth="1"/>
  </cols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7" ht="12.75" customHeight="1">
      <c r="A6" s="1" t="s">
        <v>3</v>
      </c>
      <c r="B6" s="18">
        <v>19782000</v>
      </c>
      <c r="C6" s="1" t="s">
        <v>7</v>
      </c>
      <c r="D6" s="1" t="s">
        <v>356</v>
      </c>
      <c r="E6" s="1"/>
      <c r="F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  <c r="F7" s="1"/>
    </row>
    <row r="8" spans="1:7" ht="12.75" customHeight="1">
      <c r="A8" s="1" t="s">
        <v>5</v>
      </c>
      <c r="B8" s="19">
        <v>44701</v>
      </c>
      <c r="C8" s="1" t="s">
        <v>304</v>
      </c>
      <c r="D8" s="38">
        <v>44697</v>
      </c>
      <c r="E8" s="1"/>
      <c r="F8" s="1"/>
    </row>
    <row r="9" spans="1:7" ht="12.75" customHeight="1">
      <c r="A9" s="1"/>
      <c r="B9" s="1"/>
      <c r="C9" s="1"/>
      <c r="D9" s="1"/>
      <c r="E9" s="1"/>
      <c r="F9" s="1"/>
    </row>
    <row r="10" spans="1:7" ht="12.75" customHeight="1">
      <c r="A10" s="1"/>
      <c r="B10" s="1"/>
      <c r="C10" s="2" t="s">
        <v>285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31</v>
      </c>
      <c r="B12" s="1"/>
      <c r="C12" s="32" t="s">
        <v>8</v>
      </c>
      <c r="D12" s="1"/>
      <c r="E12" s="2" t="s">
        <v>286</v>
      </c>
      <c r="F12" s="1"/>
    </row>
    <row r="13" spans="1:7" ht="12.75" customHeight="1">
      <c r="A13" s="8" t="s">
        <v>305</v>
      </c>
      <c r="C13" s="12">
        <v>75</v>
      </c>
      <c r="D13" s="8" t="s">
        <v>291</v>
      </c>
      <c r="E13" s="8" t="s">
        <v>306</v>
      </c>
      <c r="F13" s="8"/>
    </row>
    <row r="14" spans="1:7" ht="12.75" customHeight="1">
      <c r="E14" s="8" t="s">
        <v>307</v>
      </c>
    </row>
    <row r="15" spans="1:7" ht="12.75" customHeight="1">
      <c r="E15" s="8" t="s">
        <v>308</v>
      </c>
    </row>
    <row r="16" spans="1:7" ht="12.75" customHeight="1">
      <c r="E16" s="8" t="s">
        <v>309</v>
      </c>
    </row>
    <row r="17" spans="1:5" ht="12.75" customHeight="1">
      <c r="E17" s="8" t="s">
        <v>310</v>
      </c>
    </row>
    <row r="18" spans="1:5" ht="12.75" customHeight="1">
      <c r="E18" s="8" t="s">
        <v>312</v>
      </c>
    </row>
    <row r="19" spans="1:5" ht="12.75" customHeight="1">
      <c r="E19" s="8" t="s">
        <v>311</v>
      </c>
    </row>
    <row r="20" spans="1:5" ht="12.75" customHeight="1">
      <c r="E20" s="8" t="s">
        <v>313</v>
      </c>
    </row>
    <row r="21" spans="1:5" ht="12.75" customHeight="1"/>
    <row r="22" spans="1:5" ht="12.75" customHeight="1"/>
    <row r="23" spans="1:5" ht="12.75" customHeight="1"/>
    <row r="24" spans="1:5" ht="12.75" customHeight="1"/>
    <row r="25" spans="1:5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4:H25"/>
  <sheetViews>
    <sheetView workbookViewId="0">
      <selection activeCell="C10" sqref="C10"/>
    </sheetView>
  </sheetViews>
  <sheetFormatPr baseColWidth="10" defaultRowHeight="15"/>
  <sheetData>
    <row r="4" spans="1:8">
      <c r="D4" s="9" t="s">
        <v>0</v>
      </c>
      <c r="E4" s="10"/>
      <c r="F4" s="1"/>
      <c r="G4" s="22" t="s">
        <v>1</v>
      </c>
    </row>
    <row r="5" spans="1:8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8" ht="12.75" customHeight="1">
      <c r="A6" s="1" t="s">
        <v>3</v>
      </c>
      <c r="B6" s="18"/>
      <c r="C6" s="1" t="s">
        <v>7</v>
      </c>
      <c r="D6" s="1" t="s">
        <v>331</v>
      </c>
      <c r="E6" s="1"/>
    </row>
    <row r="7" spans="1:8" ht="12.75" customHeight="1">
      <c r="A7" s="1" t="s">
        <v>4</v>
      </c>
      <c r="B7" s="5" t="s">
        <v>155</v>
      </c>
      <c r="C7" s="1" t="s">
        <v>6</v>
      </c>
      <c r="D7" s="1" t="s">
        <v>330</v>
      </c>
      <c r="E7" s="1"/>
    </row>
    <row r="8" spans="1:8" ht="12.75" customHeight="1">
      <c r="A8" s="1" t="s">
        <v>5</v>
      </c>
      <c r="B8" s="19">
        <v>44659</v>
      </c>
      <c r="C8" s="1"/>
      <c r="D8" s="38"/>
      <c r="E8" s="1"/>
    </row>
    <row r="9" spans="1:8" ht="12.75" customHeight="1"/>
    <row r="10" spans="1:8" ht="12.75" customHeight="1">
      <c r="A10" s="1"/>
      <c r="B10" s="1"/>
      <c r="C10" s="32" t="s">
        <v>83</v>
      </c>
      <c r="D10" s="1"/>
      <c r="E10" s="1"/>
      <c r="F10" s="1"/>
      <c r="G10" s="1"/>
      <c r="H10" s="1"/>
    </row>
    <row r="11" spans="1:8" ht="12.75" customHeight="1">
      <c r="A11" s="1"/>
      <c r="B11" s="1"/>
      <c r="C11" s="1"/>
      <c r="D11" s="1"/>
      <c r="E11" s="1"/>
      <c r="F11" s="1"/>
      <c r="G11" s="1"/>
      <c r="H11" s="1"/>
    </row>
    <row r="12" spans="1:8" ht="12.75" customHeight="1">
      <c r="A12" s="2" t="s">
        <v>224</v>
      </c>
      <c r="B12" s="1"/>
      <c r="C12" s="2" t="s">
        <v>8</v>
      </c>
      <c r="D12" s="2"/>
      <c r="E12" s="2" t="s">
        <v>126</v>
      </c>
      <c r="F12" s="1"/>
      <c r="G12" s="2"/>
      <c r="H12" s="1"/>
    </row>
    <row r="13" spans="1:8" ht="12.75" customHeight="1">
      <c r="A13" s="8" t="s">
        <v>316</v>
      </c>
      <c r="B13" s="8"/>
      <c r="C13" s="12">
        <v>395</v>
      </c>
      <c r="D13" s="8"/>
      <c r="E13" s="8"/>
      <c r="F13" s="12" t="s">
        <v>317</v>
      </c>
    </row>
    <row r="14" spans="1:8" ht="12.75" customHeight="1">
      <c r="A14" s="8"/>
      <c r="B14" s="8"/>
      <c r="C14" s="8"/>
      <c r="D14" s="8"/>
      <c r="E14" s="8"/>
      <c r="F14" s="8"/>
    </row>
    <row r="15" spans="1:8" ht="12.75" customHeight="1">
      <c r="A15" s="8" t="s">
        <v>318</v>
      </c>
      <c r="B15" s="8"/>
      <c r="C15" s="12" t="s">
        <v>325</v>
      </c>
      <c r="D15" s="8"/>
      <c r="E15" s="12" t="s">
        <v>319</v>
      </c>
      <c r="F15" s="12" t="s">
        <v>320</v>
      </c>
    </row>
    <row r="16" spans="1:8" ht="12.75" customHeight="1">
      <c r="A16" s="8"/>
      <c r="B16" s="8"/>
      <c r="C16" s="8"/>
      <c r="D16" s="8"/>
      <c r="E16" s="8"/>
      <c r="F16" s="8"/>
    </row>
    <row r="17" spans="1:6" ht="12.75" customHeight="1">
      <c r="A17" s="8" t="s">
        <v>321</v>
      </c>
      <c r="B17" s="8"/>
      <c r="C17" s="12" t="s">
        <v>326</v>
      </c>
      <c r="D17" s="8"/>
      <c r="E17" s="12" t="s">
        <v>322</v>
      </c>
      <c r="F17" s="12" t="s">
        <v>323</v>
      </c>
    </row>
    <row r="18" spans="1:6" ht="12.75" customHeight="1">
      <c r="A18" s="8"/>
      <c r="B18" s="8"/>
      <c r="C18" s="8"/>
      <c r="D18" s="8"/>
      <c r="E18" s="8"/>
      <c r="F18" s="8"/>
    </row>
    <row r="19" spans="1:6" ht="12.75" customHeight="1">
      <c r="A19" s="8" t="s">
        <v>324</v>
      </c>
      <c r="B19" s="8"/>
      <c r="C19" s="12" t="s">
        <v>327</v>
      </c>
      <c r="D19" s="8"/>
      <c r="E19" s="12" t="s">
        <v>322</v>
      </c>
      <c r="F19" s="12" t="s">
        <v>323</v>
      </c>
    </row>
    <row r="20" spans="1:6" ht="12.75" customHeight="1">
      <c r="A20" s="8"/>
      <c r="B20" s="8"/>
      <c r="C20" s="8"/>
      <c r="D20" s="8"/>
      <c r="E20" s="8"/>
      <c r="F20" s="8"/>
    </row>
    <row r="21" spans="1:6" ht="12.75" customHeight="1"/>
    <row r="22" spans="1:6" ht="12.75" customHeight="1"/>
    <row r="23" spans="1:6" ht="12.75" customHeight="1">
      <c r="A23" s="8" t="s">
        <v>328</v>
      </c>
    </row>
    <row r="24" spans="1:6" ht="12.75" customHeight="1">
      <c r="A24" s="8" t="s">
        <v>329</v>
      </c>
    </row>
    <row r="25" spans="1:6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D23" sqref="D23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8</v>
      </c>
    </row>
    <row r="6" spans="1:7" ht="12.75" customHeight="1">
      <c r="A6" s="1" t="s">
        <v>3</v>
      </c>
      <c r="B6" s="18"/>
      <c r="C6" s="1" t="s">
        <v>7</v>
      </c>
      <c r="D6" s="1" t="s">
        <v>445</v>
      </c>
      <c r="E6" s="1"/>
    </row>
    <row r="7" spans="1:7" ht="12.75" customHeight="1">
      <c r="A7" s="1" t="s">
        <v>4</v>
      </c>
      <c r="B7" s="5" t="s">
        <v>155</v>
      </c>
      <c r="C7" s="1" t="s">
        <v>6</v>
      </c>
      <c r="D7" s="1" t="s">
        <v>436</v>
      </c>
      <c r="E7" s="1"/>
    </row>
    <row r="8" spans="1:7" ht="12.75" customHeight="1">
      <c r="A8" s="1" t="s">
        <v>5</v>
      </c>
      <c r="B8" s="19">
        <v>44891</v>
      </c>
      <c r="C8" s="1"/>
      <c r="D8" s="38"/>
      <c r="E8" s="1"/>
    </row>
    <row r="9" spans="1:7" ht="12.75" customHeight="1"/>
    <row r="10" spans="1:7" ht="12.75" customHeight="1">
      <c r="A10" s="1"/>
      <c r="B10" s="1"/>
      <c r="C10" s="32" t="s">
        <v>345</v>
      </c>
      <c r="D10" s="1"/>
      <c r="E10" s="1"/>
      <c r="F10" s="1"/>
    </row>
    <row r="11" spans="1:7" ht="12.75" customHeight="1">
      <c r="A11" s="1"/>
      <c r="B11" s="1"/>
      <c r="C11" s="1"/>
      <c r="D11" s="1"/>
      <c r="E11" s="1"/>
      <c r="F11" s="1"/>
    </row>
    <row r="12" spans="1:7" ht="12.75" customHeight="1">
      <c r="A12" s="2" t="s">
        <v>224</v>
      </c>
      <c r="B12" s="1"/>
      <c r="D12" s="2" t="s">
        <v>8</v>
      </c>
      <c r="F12" s="2" t="s">
        <v>126</v>
      </c>
    </row>
    <row r="13" spans="1:7" ht="12.75" customHeight="1">
      <c r="A13" s="8" t="s">
        <v>134</v>
      </c>
      <c r="B13" s="8"/>
      <c r="C13" s="8"/>
      <c r="D13" s="12" t="s">
        <v>446</v>
      </c>
      <c r="E13" s="8"/>
      <c r="F13" s="12" t="s">
        <v>351</v>
      </c>
      <c r="G13" s="8" t="s">
        <v>37</v>
      </c>
    </row>
    <row r="14" spans="1:7" ht="12.75" customHeight="1">
      <c r="A14" s="8" t="s">
        <v>136</v>
      </c>
      <c r="B14" s="8"/>
      <c r="C14" s="8"/>
      <c r="D14" s="12" t="s">
        <v>447</v>
      </c>
      <c r="E14" s="8"/>
      <c r="F14" s="12" t="s">
        <v>352</v>
      </c>
      <c r="G14" s="8" t="s">
        <v>37</v>
      </c>
    </row>
    <row r="15" spans="1:7" ht="12.75" customHeight="1">
      <c r="A15" s="8" t="s">
        <v>194</v>
      </c>
      <c r="B15" s="8"/>
      <c r="C15" s="8"/>
      <c r="D15" s="12" t="s">
        <v>448</v>
      </c>
      <c r="E15" s="8"/>
      <c r="F15" s="12" t="s">
        <v>353</v>
      </c>
      <c r="G15" s="8" t="s">
        <v>37</v>
      </c>
    </row>
    <row r="16" spans="1:7" ht="12.75" customHeight="1">
      <c r="A16" s="8" t="s">
        <v>34</v>
      </c>
      <c r="B16" s="8"/>
      <c r="C16" s="8"/>
      <c r="D16" s="12" t="s">
        <v>449</v>
      </c>
      <c r="E16" s="8"/>
      <c r="F16" s="12" t="s">
        <v>354</v>
      </c>
      <c r="G16" s="8" t="s">
        <v>37</v>
      </c>
    </row>
    <row r="17" spans="1:7" ht="12.75" customHeight="1">
      <c r="A17" s="8" t="s">
        <v>453</v>
      </c>
      <c r="B17" s="8"/>
      <c r="C17" s="8"/>
      <c r="D17" s="12" t="s">
        <v>454</v>
      </c>
      <c r="E17" s="8"/>
      <c r="F17" s="12" t="s">
        <v>455</v>
      </c>
      <c r="G17" s="8" t="s">
        <v>37</v>
      </c>
    </row>
    <row r="18" spans="1:7" ht="12.75" customHeight="1">
      <c r="G18" s="8"/>
    </row>
    <row r="19" spans="1:7" ht="12.75" customHeight="1">
      <c r="A19" s="8" t="s">
        <v>346</v>
      </c>
      <c r="B19" s="8"/>
      <c r="C19" s="8"/>
      <c r="D19" s="12" t="s">
        <v>450</v>
      </c>
      <c r="E19" s="8"/>
      <c r="F19" s="12" t="s">
        <v>348</v>
      </c>
      <c r="G19" s="8"/>
    </row>
    <row r="20" spans="1:7" ht="12.75" customHeight="1">
      <c r="A20" s="8" t="s">
        <v>347</v>
      </c>
      <c r="B20" s="8"/>
      <c r="C20" s="8"/>
      <c r="D20" s="12" t="s">
        <v>451</v>
      </c>
      <c r="E20" s="8"/>
      <c r="F20" s="12" t="s">
        <v>349</v>
      </c>
      <c r="G20" s="8"/>
    </row>
    <row r="21" spans="1:7" ht="12.75" customHeight="1">
      <c r="A21" s="8" t="s">
        <v>350</v>
      </c>
      <c r="B21" s="8"/>
      <c r="C21" s="8"/>
      <c r="D21" s="12" t="s">
        <v>452</v>
      </c>
      <c r="E21" s="8"/>
      <c r="F21" s="12" t="s">
        <v>113</v>
      </c>
      <c r="G21" s="8"/>
    </row>
    <row r="22" spans="1:7" ht="12.75" customHeight="1">
      <c r="A22" s="8" t="s">
        <v>456</v>
      </c>
      <c r="D22" s="12" t="s">
        <v>458</v>
      </c>
      <c r="F22" s="12" t="s">
        <v>457</v>
      </c>
    </row>
    <row r="23" spans="1:7" ht="12.75" customHeight="1"/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7" ht="12.75" customHeight="1">
      <c r="A6" s="1" t="s">
        <v>3</v>
      </c>
      <c r="B6" s="18">
        <v>19782000</v>
      </c>
      <c r="C6" s="1" t="s">
        <v>7</v>
      </c>
      <c r="D6" s="1" t="s">
        <v>356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</row>
    <row r="8" spans="1:7" ht="12.75" customHeight="1">
      <c r="A8" s="1" t="s">
        <v>5</v>
      </c>
      <c r="B8" s="19">
        <v>44701</v>
      </c>
      <c r="C8" s="1" t="s">
        <v>304</v>
      </c>
      <c r="D8" s="38">
        <v>44697</v>
      </c>
      <c r="E8" s="1"/>
    </row>
    <row r="9" spans="1:7" ht="12.75" customHeight="1">
      <c r="A9" s="1"/>
      <c r="B9" s="1"/>
      <c r="C9" s="2" t="s">
        <v>285</v>
      </c>
      <c r="D9" s="1"/>
      <c r="E9" s="1"/>
      <c r="F9" s="1"/>
    </row>
    <row r="10" spans="1:7" ht="12.75" customHeight="1">
      <c r="A10" s="1"/>
      <c r="B10" s="1"/>
      <c r="C10" s="1"/>
      <c r="D10" s="1"/>
      <c r="E10" s="1"/>
      <c r="F10" s="1"/>
    </row>
    <row r="11" spans="1:7" ht="12.75" customHeight="1">
      <c r="A11" s="2" t="s">
        <v>31</v>
      </c>
      <c r="B11" s="1"/>
      <c r="C11" s="32" t="s">
        <v>8</v>
      </c>
      <c r="D11" s="1"/>
      <c r="E11" s="2" t="s">
        <v>286</v>
      </c>
      <c r="F11" s="1"/>
    </row>
    <row r="12" spans="1:7" ht="12.75" customHeight="1">
      <c r="A12" s="8" t="s">
        <v>366</v>
      </c>
      <c r="C12" s="12" t="s">
        <v>376</v>
      </c>
      <c r="E12" s="8" t="s">
        <v>367</v>
      </c>
      <c r="F12" s="8"/>
      <c r="G12" s="8"/>
    </row>
    <row r="13" spans="1:7" ht="12.75" customHeight="1">
      <c r="A13" s="8"/>
      <c r="E13" s="8" t="s">
        <v>368</v>
      </c>
      <c r="F13" s="8"/>
      <c r="G13" s="8"/>
    </row>
    <row r="14" spans="1:7" ht="12.75" customHeight="1">
      <c r="A14" s="8"/>
      <c r="E14" s="8" t="s">
        <v>369</v>
      </c>
      <c r="F14" s="8"/>
      <c r="G14" s="8"/>
    </row>
    <row r="15" spans="1:7" ht="12.75" customHeight="1">
      <c r="A15" s="8"/>
      <c r="E15" s="8" t="s">
        <v>370</v>
      </c>
      <c r="F15" s="8"/>
      <c r="G15" s="8"/>
    </row>
    <row r="16" spans="1:7" ht="12.75" customHeight="1">
      <c r="A16" s="8"/>
      <c r="E16" s="8"/>
      <c r="F16" s="8"/>
      <c r="G16" s="8"/>
    </row>
    <row r="17" spans="1:7" ht="12.75" customHeight="1">
      <c r="A17" s="8" t="s">
        <v>371</v>
      </c>
      <c r="C17" s="12" t="s">
        <v>377</v>
      </c>
      <c r="E17" s="8" t="s">
        <v>372</v>
      </c>
      <c r="F17" s="8"/>
      <c r="G17" s="8"/>
    </row>
    <row r="18" spans="1:7" ht="12.75" customHeight="1">
      <c r="E18" s="8" t="s">
        <v>373</v>
      </c>
      <c r="F18" s="8"/>
      <c r="G18" s="8"/>
    </row>
    <row r="19" spans="1:7" ht="12.75" customHeight="1">
      <c r="E19" s="8" t="s">
        <v>374</v>
      </c>
      <c r="F19" s="8"/>
      <c r="G19" s="8"/>
    </row>
    <row r="20" spans="1:7" ht="12.75" customHeight="1">
      <c r="E20" s="8" t="s">
        <v>375</v>
      </c>
      <c r="F20" s="8"/>
      <c r="G20" s="8"/>
    </row>
    <row r="21" spans="1:7" ht="12.75" customHeight="1"/>
    <row r="22" spans="1:7" ht="12.75" customHeight="1"/>
    <row r="23" spans="1:7" ht="12.75" customHeight="1"/>
    <row r="24" spans="1:7" ht="12.75" customHeight="1"/>
    <row r="25" spans="1:7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5</v>
      </c>
    </row>
    <row r="6" spans="1:7" ht="12.75" customHeight="1">
      <c r="A6" s="1" t="s">
        <v>3</v>
      </c>
      <c r="B6" s="18">
        <v>19782000</v>
      </c>
      <c r="C6" s="1" t="s">
        <v>7</v>
      </c>
      <c r="D6" s="1" t="s">
        <v>356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357</v>
      </c>
      <c r="E7" s="1"/>
    </row>
    <row r="8" spans="1:7" ht="12.75" customHeight="1">
      <c r="A8" s="1" t="s">
        <v>5</v>
      </c>
      <c r="B8" s="19">
        <v>44701</v>
      </c>
      <c r="C8" s="1" t="s">
        <v>304</v>
      </c>
      <c r="D8" s="38">
        <v>44697</v>
      </c>
      <c r="E8" s="1"/>
    </row>
    <row r="9" spans="1:7" ht="12.75" customHeight="1">
      <c r="A9" s="1"/>
      <c r="B9" s="1"/>
      <c r="C9" s="2" t="s">
        <v>285</v>
      </c>
      <c r="D9" s="1"/>
      <c r="E9" s="1"/>
      <c r="F9" s="1"/>
    </row>
    <row r="10" spans="1:7" ht="12.75" customHeight="1">
      <c r="A10" s="1"/>
      <c r="B10" s="1"/>
      <c r="C10" s="1"/>
      <c r="D10" s="1"/>
      <c r="E10" s="1"/>
      <c r="F10" s="1"/>
    </row>
    <row r="11" spans="1:7" ht="12.75" customHeight="1">
      <c r="A11" s="2" t="s">
        <v>31</v>
      </c>
      <c r="B11" s="1"/>
      <c r="C11" s="32" t="s">
        <v>8</v>
      </c>
      <c r="D11" s="1"/>
      <c r="E11" s="2" t="s">
        <v>286</v>
      </c>
      <c r="F11" s="1"/>
    </row>
    <row r="12" spans="1:7" ht="12.75" customHeight="1">
      <c r="A12" s="8" t="s">
        <v>384</v>
      </c>
      <c r="B12" s="8"/>
      <c r="C12" s="12" t="s">
        <v>385</v>
      </c>
      <c r="D12" s="8"/>
      <c r="E12" s="8" t="s">
        <v>386</v>
      </c>
      <c r="F12" s="8"/>
      <c r="G12" s="8"/>
    </row>
    <row r="13" spans="1:7" ht="12.75" customHeight="1">
      <c r="A13" s="8"/>
      <c r="B13" s="8"/>
      <c r="C13" s="8"/>
      <c r="D13" s="8"/>
      <c r="E13" s="8" t="s">
        <v>387</v>
      </c>
      <c r="F13" s="8"/>
      <c r="G13" s="8"/>
    </row>
    <row r="14" spans="1:7" ht="12.75" customHeight="1">
      <c r="A14" s="8"/>
      <c r="B14" s="8"/>
      <c r="C14" s="8"/>
      <c r="D14" s="8"/>
      <c r="E14" s="8" t="s">
        <v>388</v>
      </c>
      <c r="F14" s="8"/>
      <c r="G14" s="8"/>
    </row>
    <row r="15" spans="1:7" ht="12.75" customHeight="1">
      <c r="A15" s="8"/>
      <c r="B15" s="8"/>
      <c r="C15" s="8"/>
      <c r="D15" s="8"/>
      <c r="E15" s="8" t="s">
        <v>389</v>
      </c>
      <c r="F15" s="8"/>
      <c r="G15" s="8"/>
    </row>
    <row r="16" spans="1:7" ht="12.75" customHeight="1"/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/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A25" sqref="A25"/>
    </sheetView>
  </sheetViews>
  <sheetFormatPr baseColWidth="10" defaultRowHeight="15"/>
  <cols>
    <col min="2" max="2" width="14.140625" customWidth="1"/>
    <col min="3" max="3" width="12.5703125" customWidth="1"/>
  </cols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1</v>
      </c>
    </row>
    <row r="6" spans="1:7" ht="12.75" customHeight="1">
      <c r="A6" s="1" t="s">
        <v>3</v>
      </c>
      <c r="B6" s="18">
        <v>4619103</v>
      </c>
      <c r="C6" s="1" t="s">
        <v>7</v>
      </c>
      <c r="D6" s="1" t="s">
        <v>413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251</v>
      </c>
      <c r="E7" s="1"/>
    </row>
    <row r="8" spans="1:7" ht="12.75" customHeight="1">
      <c r="A8" s="1" t="s">
        <v>5</v>
      </c>
      <c r="B8" s="19">
        <v>44771</v>
      </c>
      <c r="C8" s="27" t="s">
        <v>304</v>
      </c>
      <c r="D8" s="44">
        <v>44697</v>
      </c>
      <c r="E8" s="1"/>
    </row>
    <row r="9" spans="1:7" ht="12.75" customHeight="1"/>
    <row r="10" spans="1:7" ht="12.75" customHeight="1">
      <c r="C10" s="32" t="s">
        <v>390</v>
      </c>
    </row>
    <row r="11" spans="1:7" ht="12.75" customHeight="1">
      <c r="A11" s="2" t="s">
        <v>31</v>
      </c>
      <c r="B11" s="1"/>
      <c r="C11" s="32" t="s">
        <v>8</v>
      </c>
      <c r="D11" s="1"/>
      <c r="E11" s="2" t="s">
        <v>286</v>
      </c>
      <c r="F11" s="1"/>
    </row>
    <row r="12" spans="1:7" ht="12.75" customHeight="1">
      <c r="A12" s="8" t="s">
        <v>391</v>
      </c>
      <c r="B12" s="8"/>
      <c r="C12" s="12">
        <v>1805</v>
      </c>
      <c r="D12" s="8"/>
      <c r="E12" s="12" t="s">
        <v>392</v>
      </c>
      <c r="F12" s="12" t="s">
        <v>317</v>
      </c>
    </row>
    <row r="13" spans="1:7" ht="12.75" customHeight="1">
      <c r="A13" s="8" t="s">
        <v>393</v>
      </c>
      <c r="B13" s="8"/>
      <c r="C13" s="11" t="s">
        <v>406</v>
      </c>
      <c r="D13" s="8"/>
      <c r="E13" s="12"/>
      <c r="F13" s="12" t="s">
        <v>395</v>
      </c>
    </row>
    <row r="14" spans="1:7" ht="12.75" customHeight="1">
      <c r="A14" s="8" t="s">
        <v>394</v>
      </c>
      <c r="B14" s="8"/>
      <c r="C14" s="12" t="s">
        <v>407</v>
      </c>
      <c r="D14" s="8"/>
      <c r="E14" s="12"/>
      <c r="F14" s="12" t="s">
        <v>396</v>
      </c>
    </row>
    <row r="15" spans="1:7" ht="12.75" customHeight="1">
      <c r="A15" s="8" t="s">
        <v>398</v>
      </c>
      <c r="B15" s="8"/>
      <c r="C15" s="12">
        <v>85</v>
      </c>
      <c r="D15" s="8"/>
      <c r="E15" s="12"/>
      <c r="F15" s="12" t="s">
        <v>397</v>
      </c>
    </row>
    <row r="16" spans="1:7" ht="12.75" customHeight="1">
      <c r="A16" s="8" t="s">
        <v>399</v>
      </c>
      <c r="B16" s="8"/>
      <c r="C16" s="12" t="s">
        <v>408</v>
      </c>
      <c r="D16" s="8"/>
      <c r="E16" s="12"/>
      <c r="F16" s="12" t="s">
        <v>405</v>
      </c>
    </row>
    <row r="17" spans="1:6" ht="12.75" customHeight="1">
      <c r="A17" s="8" t="s">
        <v>400</v>
      </c>
      <c r="B17" s="8"/>
      <c r="C17" s="13">
        <v>1</v>
      </c>
      <c r="D17" s="8"/>
      <c r="E17" s="12" t="s">
        <v>39</v>
      </c>
      <c r="F17" s="12" t="s">
        <v>37</v>
      </c>
    </row>
    <row r="18" spans="1:6" ht="12.75" customHeight="1">
      <c r="A18" s="8" t="s">
        <v>402</v>
      </c>
      <c r="B18" s="8"/>
      <c r="C18" s="12">
        <v>81.5</v>
      </c>
      <c r="D18" s="8"/>
      <c r="E18" s="12" t="s">
        <v>401</v>
      </c>
      <c r="F18" s="12" t="s">
        <v>37</v>
      </c>
    </row>
    <row r="19" spans="1:6" ht="12.75" customHeight="1">
      <c r="A19" s="8" t="s">
        <v>403</v>
      </c>
      <c r="B19" s="8"/>
      <c r="C19" s="13" t="s">
        <v>409</v>
      </c>
      <c r="D19" s="8"/>
      <c r="E19" s="12" t="s">
        <v>412</v>
      </c>
      <c r="F19" s="12" t="s">
        <v>395</v>
      </c>
    </row>
    <row r="20" spans="1:6" ht="12.75" customHeight="1">
      <c r="A20" s="8" t="s">
        <v>404</v>
      </c>
      <c r="B20" s="8"/>
      <c r="C20" s="12" t="s">
        <v>410</v>
      </c>
      <c r="D20" s="8"/>
      <c r="E20" s="12" t="s">
        <v>411</v>
      </c>
      <c r="F20" s="12" t="s">
        <v>395</v>
      </c>
    </row>
    <row r="21" spans="1:6" ht="12.75" customHeight="1"/>
    <row r="22" spans="1:6" ht="12.75" customHeight="1"/>
    <row r="23" spans="1:6" ht="12.75" customHeight="1"/>
    <row r="24" spans="1:6" ht="12.75" customHeight="1"/>
    <row r="25" spans="1:6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4:G25"/>
  <sheetViews>
    <sheetView workbookViewId="0">
      <selection activeCell="E15" sqref="E15:F16"/>
    </sheetView>
  </sheetViews>
  <sheetFormatPr baseColWidth="10" defaultRowHeight="15"/>
  <sheetData>
    <row r="4" spans="1:7">
      <c r="D4" s="9" t="s">
        <v>0</v>
      </c>
      <c r="E4" s="10"/>
      <c r="F4" s="1"/>
      <c r="G4" s="22" t="s">
        <v>1</v>
      </c>
    </row>
    <row r="5" spans="1:7" ht="12.75" customHeight="1">
      <c r="A5" s="9" t="s">
        <v>2</v>
      </c>
      <c r="B5" s="1"/>
      <c r="C5" s="1"/>
      <c r="D5" s="1"/>
      <c r="E5" s="1"/>
      <c r="F5" s="1"/>
      <c r="G5" s="1">
        <v>8</v>
      </c>
    </row>
    <row r="6" spans="1:7" ht="12.75" customHeight="1">
      <c r="A6" s="1" t="s">
        <v>3</v>
      </c>
      <c r="B6" s="18">
        <v>13458989</v>
      </c>
      <c r="C6" s="1" t="s">
        <v>7</v>
      </c>
      <c r="D6" s="1" t="s">
        <v>468</v>
      </c>
      <c r="E6" s="1"/>
    </row>
    <row r="7" spans="1:7" ht="12.75" customHeight="1">
      <c r="A7" s="1" t="s">
        <v>4</v>
      </c>
      <c r="B7" s="5" t="s">
        <v>154</v>
      </c>
      <c r="C7" s="1" t="s">
        <v>6</v>
      </c>
      <c r="D7" s="1" t="s">
        <v>334</v>
      </c>
      <c r="E7" s="1"/>
    </row>
    <row r="8" spans="1:7" ht="12.75" customHeight="1">
      <c r="A8" s="1" t="s">
        <v>5</v>
      </c>
      <c r="B8" s="19">
        <v>45037</v>
      </c>
      <c r="C8" s="27" t="s">
        <v>304</v>
      </c>
      <c r="D8" s="44">
        <v>44697</v>
      </c>
      <c r="E8" s="1"/>
    </row>
    <row r="9" spans="1:7" ht="12.75" customHeight="1"/>
    <row r="10" spans="1:7" ht="12.75" customHeight="1">
      <c r="C10" s="32" t="s">
        <v>83</v>
      </c>
    </row>
    <row r="11" spans="1:7" ht="12.75" customHeight="1">
      <c r="A11" s="2" t="s">
        <v>31</v>
      </c>
      <c r="B11" s="1"/>
      <c r="C11" s="32" t="s">
        <v>8</v>
      </c>
      <c r="D11" s="1"/>
      <c r="E11" s="2" t="s">
        <v>286</v>
      </c>
      <c r="F11" s="1"/>
    </row>
    <row r="12" spans="1:7" ht="12.75" customHeight="1">
      <c r="A12" s="1" t="s">
        <v>414</v>
      </c>
      <c r="C12" s="5" t="s">
        <v>469</v>
      </c>
      <c r="E12" s="1" t="s">
        <v>471</v>
      </c>
    </row>
    <row r="13" spans="1:7" ht="12.75" customHeight="1">
      <c r="E13" s="1" t="s">
        <v>472</v>
      </c>
    </row>
    <row r="14" spans="1:7" ht="12.75" customHeight="1">
      <c r="E14" s="1" t="s">
        <v>473</v>
      </c>
    </row>
    <row r="15" spans="1:7" ht="12.75" customHeight="1">
      <c r="E15" s="1" t="s">
        <v>415</v>
      </c>
      <c r="G15" s="27"/>
    </row>
    <row r="16" spans="1:7" ht="12.75" customHeight="1">
      <c r="E16" s="1" t="s">
        <v>416</v>
      </c>
      <c r="G16" s="27"/>
    </row>
    <row r="17" spans="1:1" ht="12.75" customHeight="1"/>
    <row r="18" spans="1:1" ht="12.75" customHeight="1"/>
    <row r="19" spans="1:1" ht="12.75" customHeight="1"/>
    <row r="20" spans="1:1" ht="12.75" customHeight="1"/>
    <row r="21" spans="1:1" ht="12.75" customHeight="1"/>
    <row r="22" spans="1:1" ht="12.75" customHeight="1">
      <c r="A22" s="1" t="s">
        <v>470</v>
      </c>
    </row>
    <row r="23" spans="1:1" ht="12.75" customHeight="1"/>
    <row r="24" spans="1:1" ht="12.75" customHeight="1"/>
    <row r="25" spans="1:1" ht="12.75" customHeight="1">
      <c r="A25" s="15" t="s">
        <v>156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HEMATOLOGIA</vt:lpstr>
      <vt:lpstr>QUIMICA SANGUINEA</vt:lpstr>
      <vt:lpstr>COAGULACION</vt:lpstr>
      <vt:lpstr>ORINA</vt:lpstr>
      <vt:lpstr>HECES</vt:lpstr>
      <vt:lpstr>HIV</vt:lpstr>
      <vt:lpstr>P.EMB</vt:lpstr>
      <vt:lpstr>TIPIAJE</vt:lpstr>
      <vt:lpstr>DENGUE</vt:lpstr>
      <vt:lpstr>PERF. LIP</vt:lpstr>
      <vt:lpstr>PERF. HEP</vt:lpstr>
      <vt:lpstr>QUIMICA</vt:lpstr>
      <vt:lpstr>VSG Y PCR</vt:lpstr>
      <vt:lpstr>ELECTROLITOS</vt:lpstr>
      <vt:lpstr>DIMERO D</vt:lpstr>
      <vt:lpstr>AC COVID</vt:lpstr>
      <vt:lpstr>MARCADORES TUMORALES</vt:lpstr>
      <vt:lpstr>FIBRINOGENO</vt:lpstr>
      <vt:lpstr>INSULINA</vt:lpstr>
      <vt:lpstr>FSP</vt:lpstr>
      <vt:lpstr>HBA1C</vt:lpstr>
      <vt:lpstr>TOXO IgM</vt:lpstr>
      <vt:lpstr>PSAT Y L</vt:lpstr>
      <vt:lpstr>ANTIGENOS FEBRILES</vt:lpstr>
      <vt:lpstr>TEST L Y T</vt:lpstr>
      <vt:lpstr>PROLACTINA</vt:lpstr>
      <vt:lpstr>ESTRADIOL</vt:lpstr>
      <vt:lpstr>ORINA DE 24H</vt:lpstr>
      <vt:lpstr>INDICES RENALES</vt:lpstr>
      <vt:lpstr>FSH Y LH</vt:lpstr>
      <vt:lpstr>DHEA SO4</vt:lpstr>
      <vt:lpstr>DEP. CREATININA</vt:lpstr>
      <vt:lpstr>BETA HCG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2</dc:creator>
  <cp:lastModifiedBy>Equipo 2</cp:lastModifiedBy>
  <cp:lastPrinted>2023-04-03T19:42:37Z</cp:lastPrinted>
  <dcterms:created xsi:type="dcterms:W3CDTF">2022-03-03T18:32:13Z</dcterms:created>
  <dcterms:modified xsi:type="dcterms:W3CDTF">2023-05-18T14:23:14Z</dcterms:modified>
</cp:coreProperties>
</file>